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recios de Ingredientes" sheetId="2" state="visible" r:id="rId4"/>
    <sheet name="Costeo por Barrita" sheetId="3" state="visible" r:id="rId5"/>
    <sheet name="Costos Fijos y Variables" sheetId="4" state="visible" r:id="rId6"/>
    <sheet name="Escenarios de Precio" sheetId="5" state="visible" r:id="rId7"/>
    <sheet name="Packs y Ticket Promedio" sheetId="6" state="visible" r:id="rId8"/>
    <sheet name="Presupuesto Lanzamiento y Año 1" sheetId="7" state="visible" r:id="rId9"/>
    <sheet name="P&amp;L PC1-PC4 VOLTRA" sheetId="8" state="visible" r:id="rId10"/>
    <sheet name="Estrategia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<sst xmlns="http://schemas.openxmlformats.org/spreadsheetml/2006/main" count="779" uniqueCount="605">
  <si>
    <t xml:space="preserve">VOLTRA — Modelo de Costos Revisado</t>
  </si>
  <si>
    <t xml:space="preserve">Resumen ejecutivo · Producción tercerizada a fasón + depósito propio · TP4 eCommerce UCEMA</t>
  </si>
  <si>
    <t xml:space="preserve">Diagnóstico y objetivo</t>
  </si>
  <si>
    <t xml:space="preserve">Objetivo</t>
  </si>
  <si>
    <t xml:space="preserve">Mejorar la rentabilidad manteniendo las 4 barritas y la propuesta de caja x4.</t>
  </si>
  <si>
    <t xml:space="preserve">Modelo operativo</t>
  </si>
  <si>
    <t xml:space="preserve">Producción 100% tercerizada a una fábrica elaboradora a fasón (mezcla, extrusión, corte y envasado individual); VOLTRA aporta ingredientes/recetas. El depósito propio en Avellaneda se usa solo para almacenamiento de stock terminado, control de calidad, picking &amp; packing y despacho.</t>
  </si>
  <si>
    <t xml:space="preserve">Cambio principal</t>
  </si>
  <si>
    <t xml:space="preserve">El envío se cobra aparte al cliente (ya no se absorbe en el precio); se comparan precios de $9.000/$10.000/$11.000/$12.000 y se recomienda analizar $11.000.</t>
  </si>
  <si>
    <t xml:space="preserve">Costo de fasón</t>
  </si>
  <si>
    <t xml:space="preserve">Se suma el fee de elaboración a fasón, la merma técnica (4% sobre insumos) y el flete de abastecimiento consolidado desde la fábrica hasta el depósito.</t>
  </si>
  <si>
    <t xml:space="preserve">Marketing</t>
  </si>
  <si>
    <t xml:space="preserve">Se mantiene el total en 15% de la venta, pero ahora se abre por canal real: 30% Meta Ads, 30% TikTok Ads y 40% UGC/microinfluencers fitness (fee + producto), con seguimiento de CAC para revisar si es sostenible.</t>
  </si>
  <si>
    <t xml:space="preserve">Stock inicial</t>
  </si>
  <si>
    <t xml:space="preserve">Se baja de 1.000 a 500 cajas como supuesto de lanzamiento, reponiendo según demanda real.</t>
  </si>
  <si>
    <t xml:space="preserve">Packs</t>
  </si>
  <si>
    <t xml:space="preserve">Se agregan los packs x8 y x12 (además del x4) para subir el ticket promedio y diluir el envío y el flete de abastecimiento entre más unidades.</t>
  </si>
  <si>
    <t xml:space="preserve">Indicadores de referencia (se actualizan solos si cambiás supuestos)</t>
  </si>
  <si>
    <t xml:space="preserve">Indicador</t>
  </si>
  <si>
    <t xml:space="preserve">Valor</t>
  </si>
  <si>
    <t xml:space="preserve">Costo de ingredientes — caja x4</t>
  </si>
  <si>
    <t xml:space="preserve">Merma técnica + fee de elaboración a fasón (por caja)</t>
  </si>
  <si>
    <t xml:space="preserve">Flete de abastecimiento (por caja, diluido)</t>
  </si>
  <si>
    <t xml:space="preserve">Packaging x4 (individual + caja)</t>
  </si>
  <si>
    <t xml:space="preserve">Embalaje de despacho (bolsa/sobre + cinta + etiqueta)</t>
  </si>
  <si>
    <t xml:space="preserve">Costo variable antes de fee</t>
  </si>
  <si>
    <t xml:space="preserve">Precio recomendado a analizar</t>
  </si>
  <si>
    <t xml:space="preserve">Fee Mercado Pago a ese precio</t>
  </si>
  <si>
    <t xml:space="preserve">Margen de contribución (antes de marketing)</t>
  </si>
  <si>
    <t xml:space="preserve">Margen después de marketing (15% total: Meta+TikTok+UGC)</t>
  </si>
  <si>
    <t xml:space="preserve">Ratio de margen de contribución (CMR %)</t>
  </si>
  <si>
    <t xml:space="preserve">Punto de equilibrio (cajas/mes, con marketing)</t>
  </si>
  <si>
    <t xml:space="preserve">Stock inicial de lanzamiento (cajas)</t>
  </si>
  <si>
    <t xml:space="preserve">Qué NO cambia</t>
  </si>
  <si>
    <t xml:space="preserve">El concepto de marca y las 4 variedades de VOLTRA (IGNITE, BUILD, HYDRO, JOY) se mantienen sin cambios. Lo que cambia es el modelo operativo y económico alrededor del producto: producción tercerizada a fasón (en vez de elaboración propia), depósito propio solo para picking &amp; packing, mejor margen vía precio, estrategia de envío separada del costo del producto, packs de mayor cantidad para subir el ticket promedio, y una inversión inicial más chica. El próximo paso sugerido es comparar los escenarios de precio y recalcular margen de contribución, punto de equilibrio y rentabilidad con datos reales de venta apenas arranque el negocio.</t>
  </si>
  <si>
    <t xml:space="preserve">Hojas de este archivo:</t>
  </si>
  <si>
    <t xml:space="preserve">Precios de Ingredientes</t>
  </si>
  <si>
    <t xml:space="preserve">Relevamiento de precios reales de mercado, con link de compra por ingrediente.</t>
  </si>
  <si>
    <t xml:space="preserve">Costeo por Barrita</t>
  </si>
  <si>
    <t xml:space="preserve">Costeo ingrediente por ingrediente de las 4 fórmulas (IGNITE, BUILD, HYDRO, JOY).</t>
  </si>
  <si>
    <t xml:space="preserve">Costos Fijos y Variables</t>
  </si>
  <si>
    <t xml:space="preserve">Estructura de costos fijos y variables por caja (incluye fasón, merma, flete y despacho) y proyección a 6 meses.</t>
  </si>
  <si>
    <t xml:space="preserve">Escenarios de Precio</t>
  </si>
  <si>
    <t xml:space="preserve">Comparación de precios $9.000/$10.000/$11.000/$12.000 y su impacto en el margen.</t>
  </si>
  <si>
    <t xml:space="preserve">Packs y Ticket Promedio</t>
  </si>
  <si>
    <t xml:space="preserve">Economía de los packs x4/x8/x12 y dilución del envío y el flete de abastecimiento.</t>
  </si>
  <si>
    <t xml:space="preserve">Presupuesto Lanzamiento y Año 1</t>
  </si>
  <si>
    <t xml:space="preserve">Inversión inicial (incluye equipamiento de despacho) y presupuesto mensual del primer año.</t>
  </si>
  <si>
    <t xml:space="preserve">P&amp;L PC1-PC4 VOLTRA</t>
  </si>
  <si>
    <t xml:space="preserve">Profit &amp; Loss completo, formato de la Clase 4 (PC1 a PC4/EBITDA).</t>
  </si>
  <si>
    <t xml:space="preserve">Estrategias</t>
  </si>
  <si>
    <t xml:space="preserve">Optimización, escalabilidad, incertidumbre por inflación y por tipo de cambio, expansión al interior, retiro en punto (click &amp; collect), fidelización/recompra y posicionamiento competitivo.</t>
  </si>
  <si>
    <t xml:space="preserve">VOLTRA — Precios de Referencia de Ingredientes</t>
  </si>
  <si>
    <t xml:space="preserve">Relevamiento de precios de mercado en Argentina (ago-2026) para costear las 4 fórmulas de barritas · Montos en pesos argentinos (ARS)</t>
  </si>
  <si>
    <t xml:space="preserve">Ingrediente</t>
  </si>
  <si>
    <t xml:space="preserve">Unidad</t>
  </si>
  <si>
    <t xml:space="preserve">Precio</t>
  </si>
  <si>
    <t xml:space="preserve">Fuente / Nota</t>
  </si>
  <si>
    <t xml:space="preserve">Link de compra</t>
  </si>
  <si>
    <t xml:space="preserve">Harina de avena (fina o instantánea)</t>
  </si>
  <si>
    <t xml:space="preserve">kg</t>
  </si>
  <si>
    <t xml:space="preserve">Alifrut Mayorista / Molino Cañuelas — bolsa mayorista x25kg (ago-2026)</t>
  </si>
  <si>
    <t xml:space="preserve">Ver producto</t>
  </si>
  <si>
    <t xml:space="preserve">Miel</t>
  </si>
  <si>
    <t xml:space="preserve">Compra a escala productor: tambor o balde x10kg de productor apícola directo / Alifrut Mayorista (ago-2026)</t>
  </si>
  <si>
    <t xml:space="preserve">Cereal de maíz crocante sin azúcar</t>
  </si>
  <si>
    <t xml:space="preserve">Uriburu Frutos Secos — bolsa mayorista x5-10kg (ago-2026)</t>
  </si>
  <si>
    <t xml:space="preserve">Banana deshidratada en polvo</t>
  </si>
  <si>
    <t xml:space="preserve">Insumo industrial a granel para repostería/nutrición, bolsa x10kg — reemplaza el valor de fruta liofilizada minorista de $144.000/kg por compra a escala elaborador</t>
  </si>
  <si>
    <t xml:space="preserve">Clara de huevo pasteurizada</t>
  </si>
  <si>
    <t xml:space="preserve">L</t>
  </si>
  <si>
    <t xml:space="preserve">AESA SRL / Ovobrand — sachet o bidón industrial x10L (ago-2026)</t>
  </si>
  <si>
    <t xml:space="preserve">Aceite de girasol alto oleico</t>
  </si>
  <si>
    <t xml:space="preserve">DGM Materias Primas — bidón x5L Natura o Cañuelas (ago-2026)</t>
  </si>
  <si>
    <t xml:space="preserve">Canela en polvo</t>
  </si>
  <si>
    <t xml:space="preserve">Puesto Verde / Positiva Mayorista — bolsa x1kg (ago-2026)</t>
  </si>
  <si>
    <t xml:space="preserve">Extracto de vainilla natural</t>
  </si>
  <si>
    <t xml:space="preserve">DGM Materias Primas — El Castillo x1L gastronómico (ago-2026)</t>
  </si>
  <si>
    <t xml:space="preserve">Aroma natural de banana</t>
  </si>
  <si>
    <t xml:space="preserve">Sweet Chef / Laboratorios de esencias B2B fraccionado x1kg — reemplaza el valor minorista de cotillón de $170.000/kg por compra fraccionada a mayor escala</t>
  </si>
  <si>
    <t xml:space="preserve">Sal fina</t>
  </si>
  <si>
    <t xml:space="preserve">Alifrut Mayorista — bolsa x500g-1kg marina Macrozen (ago-2026)</t>
  </si>
  <si>
    <t xml:space="preserve">Proteína aislada de suero (whey) sin sabor</t>
  </si>
  <si>
    <t xml:space="preserve">Bolsa mayorista B2B x10-20kg (Arla / Lacprodan / distribuidores de nutrición) — reemplaza el pote minorista sin sabor de $57.000/kg por compra a granel</t>
  </si>
  <si>
    <t xml:space="preserve">Proteína de leche (caseína)</t>
  </si>
  <si>
    <t xml:space="preserve">Bolsa x10-20kg B2B importador de ingredientes lácteos — reemplaza el pote minorista anclado a whey ($57.000/kg) por precio mayorista propio de caseína</t>
  </si>
  <si>
    <t xml:space="preserve">Crispies proteicos triturados</t>
  </si>
  <si>
    <t xml:space="preserve">Mezcla industrial 70% arroz inflado a granel + 30% aislado proteico, a escala mayorista</t>
  </si>
  <si>
    <t xml:space="preserve">Harina de avena ultrafina</t>
  </si>
  <si>
    <t xml:space="preserve">Alifrut Mayorista — molienda especial x25kg (ago-2026)</t>
  </si>
  <si>
    <t xml:space="preserve">Fibra soluble de tapioca o maíz</t>
  </si>
  <si>
    <t xml:space="preserve">AESA SRL / Distribuidora Química — bolsa papel kraft x25kg (ago-2026)</t>
  </si>
  <si>
    <t xml:space="preserve">Pasta de maní 100% pura</t>
  </si>
  <si>
    <t xml:space="preserve">Balde gastronómico mayorista x10kg (Entre Nuts / Dicomere) — baja del frasco chico retail de $7.027/kg</t>
  </si>
  <si>
    <t xml:space="preserve">Crema de almendras</t>
  </si>
  <si>
    <t xml:space="preserve">Balde x5kg de productor directo de frutos secos — reemplaza el frasco retail de 170g prorrateado a $38.117/kg</t>
  </si>
  <si>
    <t xml:space="preserve">Almendras tostadas picadas</t>
  </si>
  <si>
    <t xml:space="preserve">Alifrut Mayorista — Almendras Non Pareil, caja cerrada x10kg (ago-2026)</t>
  </si>
  <si>
    <t xml:space="preserve">Glicerina vegetal alimentaria</t>
  </si>
  <si>
    <t xml:space="preserve">QuimiCat / Droguería B2B — bidón x5kg (ago-2026)</t>
  </si>
  <si>
    <t xml:space="preserve">Pasta de dátiles procesada</t>
  </si>
  <si>
    <t xml:space="preserve">Caja mayorista x5-10kg de importador directo de dátiles egipcios/iraníes — baja del retail de dietética de $10.817/kg</t>
  </si>
  <si>
    <t xml:space="preserve">Arroz crocante triturado (tipo rice crispies)</t>
  </si>
  <si>
    <t xml:space="preserve">Burbujas / distribuidora cerealera — bolsa x5kg (ago-2026)</t>
  </si>
  <si>
    <t xml:space="preserve">Proteína de arroz o arveja</t>
  </si>
  <si>
    <t xml:space="preserve">Bolsa mayorista x10-20kg (Dulkre / exportador de proteína vegetal) — reemplaza el pote minorista de $44.800/kg</t>
  </si>
  <si>
    <t xml:space="preserve">Fibra de acacia</t>
  </si>
  <si>
    <t xml:space="preserve">QuimiCat / proveedor químico alimentario — x1-5kg (ago-2026)</t>
  </si>
  <si>
    <t xml:space="preserve">Citrato de potasio USP</t>
  </si>
  <si>
    <t xml:space="preserve">Droguería B2B / Morashop, grado alimentario (ago-2026)</t>
  </si>
  <si>
    <t xml:space="preserve">Citrato de magnesio</t>
  </si>
  <si>
    <t xml:space="preserve">Hedgehog Suplementos / EDN — x1kg (ago-2026)</t>
  </si>
  <si>
    <t xml:space="preserve">Sal marina</t>
  </si>
  <si>
    <t xml:space="preserve">Alifrut Mayorista — x1kg (ago-2026)</t>
  </si>
  <si>
    <t xml:space="preserve">Sabor natural caramelo</t>
  </si>
  <si>
    <t xml:space="preserve">Proveedor de esencias alimentarias industriales — reemplaza el valor minorista de $170.000/kg por compra fraccionada a mayor escala</t>
  </si>
  <si>
    <t xml:space="preserve">Cacao amargo desgrasado</t>
  </si>
  <si>
    <t xml:space="preserve">Alifrut Mayorista / Fénix — x1-5kg (ago-2026)</t>
  </si>
  <si>
    <t xml:space="preserve">Harina de avellanas parcialmente desgrasada</t>
  </si>
  <si>
    <t xml:space="preserve">Uriburu Frutos Secos — bolsa x5kg — baja de la presentación chica de $52.800/kg</t>
  </si>
  <si>
    <t xml:space="preserve">Pasta de avellanas 100%</t>
  </si>
  <si>
    <t xml:space="preserve">Balde mayorista x5kg — reemplaza el frasco retail de 170g prorrateado a $62.353/kg</t>
  </si>
  <si>
    <t xml:space="preserve">Agua</t>
  </si>
  <si>
    <t xml:space="preserve">Sin costo relevante para el cálculo</t>
  </si>
  <si>
    <t xml:space="preserve">Referencia de precio de venta de mercado (marca Integra)</t>
  </si>
  <si>
    <t xml:space="preserve">Caja Integra x10 barritas proteicas</t>
  </si>
  <si>
    <t xml:space="preserve">Rango real relevado $17.000-$23.750 por caja de 10 unidades (Fitnova, Freya Fitness, Valquiria, somosintegra.com.ar, ago-2026) → equivale a ~$1.700-$2.375 por barrita individual</t>
  </si>
  <si>
    <t xml:space="preserve">Precio de venta implícito por barrita Integra</t>
  </si>
  <si>
    <t xml:space="preserve">Nota — actualización a escala mayorista/B2B (ago-2026): esta hoja pasó de precios minoristas/dietética (frascos y bolsas chicas) a precios de compra por bolsa, balde o bidón cerrado, pensados para abastecer a una fábrica elaboradora a fasón con volumen sostenido. Los mayores ajustes fueron banana deshidratada en polvo ($144.000→$24.000/kg), aromas de banana y caramelo ($170.000→$95.000/kg), proteína whey sin sabor ($57.000→$42.000/kg), caseína ($57.000→$44.000/kg), pasta de maní ($7.027→$5.800/kg), crema de almendras ($38.117→$28.500/kg), pasta de dátiles ($10.817→$9.200/kg), proteína de arroz/arveja ($44.800→$38.000/kg), harina de avellanas ($52.800→$44.000/kg) y pasta de avellanas ($62.353→$48.000/kg). El resto de los ingredientes ya estaba cotizado en formato mayorista y se mantuvo sin cambios significativos. Todas las celdas de precio (columna C) son editables si conseguís una cotización directa de tu proveedor.</t>
  </si>
  <si>
    <t xml:space="preserve">VOLTRA — Costeo Detallado por Barrita (ingrediente por ingrediente)</t>
  </si>
  <si>
    <t xml:space="preserve">Cada receta rinde 10 barritas · Costo = cantidad x precio de referencia (hoja Precios de Ingredientes) · Montos en ARS</t>
  </si>
  <si>
    <t xml:space="preserve">VOLTRA IGNITE — Banana Honey Crunch (Pre-entreno)</t>
  </si>
  <si>
    <t xml:space="preserve">Cantidad por lote (10 u.) — g o ml</t>
  </si>
  <si>
    <t xml:space="preserve">Cantidad por barrita — g o ml</t>
  </si>
  <si>
    <t xml:space="preserve">Precio de referencia</t>
  </si>
  <si>
    <t xml:space="preserve">Costo por barrita ($)</t>
  </si>
  <si>
    <t xml:space="preserve">Harina de avena fina</t>
  </si>
  <si>
    <t xml:space="preserve">Avena instantánea de copo pequeño</t>
  </si>
  <si>
    <t xml:space="preserve">Cereal de maíz crocante sin azúcar, triturado</t>
  </si>
  <si>
    <t xml:space="preserve">Banana madura deshidratada en polvo</t>
  </si>
  <si>
    <t xml:space="preserve">Canela</t>
  </si>
  <si>
    <t xml:space="preserve">Extracto de vainilla</t>
  </si>
  <si>
    <t xml:space="preserve">Sal</t>
  </si>
  <si>
    <t xml:space="preserve">COSTO TOTAL DE INGREDIENTES POR BARRITA — IGNITE</t>
  </si>
  <si>
    <t xml:space="preserve">VOLTRA BUILD — Peanut Almond Protein Crunch (Post-entreno fuerza)</t>
  </si>
  <si>
    <t xml:space="preserve">Proteína aislada de suero</t>
  </si>
  <si>
    <t xml:space="preserve">Proteína de leche</t>
  </si>
  <si>
    <t xml:space="preserve">Pasta de maní</t>
  </si>
  <si>
    <t xml:space="preserve">Vainilla</t>
  </si>
  <si>
    <t xml:space="preserve">Agua (para ajustar textura)</t>
  </si>
  <si>
    <t xml:space="preserve">COSTO TOTAL DE INGREDIENTES POR BARRITA — BUILD</t>
  </si>
  <si>
    <t xml:space="preserve">VOLTRA HYDRO — Salted Caramel &amp; Vanilla Electrolyte Crunch (Post-running)</t>
  </si>
  <si>
    <t xml:space="preserve">Pasta de dátiles procesada muy fina</t>
  </si>
  <si>
    <t xml:space="preserve">Arroz crocante triturado</t>
  </si>
  <si>
    <t xml:space="preserve">Proteína de arroz o aislado de suero</t>
  </si>
  <si>
    <t xml:space="preserve">Citrato de potasio</t>
  </si>
  <si>
    <t xml:space="preserve">Vainilla natural</t>
  </si>
  <si>
    <t xml:space="preserve">Sabor natural a caramelo</t>
  </si>
  <si>
    <t xml:space="preserve">COSTO TOTAL DE INGREDIENTES POR BARRITA — HYDRO</t>
  </si>
  <si>
    <t xml:space="preserve">VOLTRA JOY — Creamy Cacao Hazelnut (Healthy Snack)</t>
  </si>
  <si>
    <t xml:space="preserve">Pasta lisa de dátiles enteros</t>
  </si>
  <si>
    <t xml:space="preserve">COSTO TOTAL DE INGREDIENTES POR BARRITA — JOY</t>
  </si>
  <si>
    <t xml:space="preserve">Resumen — Costo de ingredientes por Caja de Entrenamiento (1 barrita de cada variedad)</t>
  </si>
  <si>
    <t xml:space="preserve">Barrita</t>
  </si>
  <si>
    <t xml:space="preserve">Costo de ingredientes por unidad</t>
  </si>
  <si>
    <t xml:space="preserve">VOLTRA IGNITE</t>
  </si>
  <si>
    <t xml:space="preserve">VOLTRA BUILD</t>
  </si>
  <si>
    <t xml:space="preserve">VOLTRA HYDRO</t>
  </si>
  <si>
    <t xml:space="preserve">VOLTRA JOY</t>
  </si>
  <si>
    <t xml:space="preserve">TOTAL INGREDIENTES POR CAJA (1 de cada variedad)</t>
  </si>
  <si>
    <t xml:space="preserve">Nota: este total sólo incluye ingredientes (materia prima). El packaging individual, la caja y la logística se agregan en la hoja "Costos Fijos y Variables", que toma este valor como base del COGS por caja.</t>
  </si>
  <si>
    <t xml:space="preserve">VOLTRA — Costos Fijos y Variables de la Tienda Online</t>
  </si>
  <si>
    <t xml:space="preserve">TP4 · eCommerce UCEMA · Producción tercerizada a fasón + depósito propio (picking &amp; packing) en Avellaneda · Montos en ARS</t>
  </si>
  <si>
    <t xml:space="preserve">1. Supuestos de negocio (celdas amarillas = editable)</t>
  </si>
  <si>
    <t xml:space="preserve">Supuesto</t>
  </si>
  <si>
    <t xml:space="preserve">Nota</t>
  </si>
  <si>
    <t xml:space="preserve">Precio de venta — Caja de entrenamiento (4 barritas, 1 de c/variedad)</t>
  </si>
  <si>
    <t xml:space="preserve">Precio recomendado tras revisar escenarios de $9.000/$10.000/$11.000/$12.000 (ver hoja "Escenarios de Precio"). Referencia de mercado Integra: ~$1.700-$2.375/barrita (ver hoja Precios de Ingredientes).</t>
  </si>
  <si>
    <t xml:space="preserve">Unidades vendidas — Mes 1 (cajas)</t>
  </si>
  <si>
    <t xml:space="preserve">Escala de lanzamiento media (rango 200-500 cajas/mes definido para el proyecto)</t>
  </si>
  <si>
    <t xml:space="preserve">Crecimiento mensual de unidades (meses 1-6)</t>
  </si>
  <si>
    <t xml:space="preserve">Rampa de lanzamiento con marketing digital; lleva las unidades de 200 a ~500 cajas/mes hacia el mes 6</t>
  </si>
  <si>
    <t xml:space="preserve">2. Costos Fijos Mensuales — Depósito y Operación (no dependen del nivel de ventas)</t>
  </si>
  <si>
    <t xml:space="preserve">Concepto</t>
  </si>
  <si>
    <t xml:space="preserve">Tipo</t>
  </si>
  <si>
    <t xml:space="preserve">Monto Mensual</t>
  </si>
  <si>
    <t xml:space="preserve">Anual (x12)</t>
  </si>
  <si>
    <t xml:space="preserve">% s/ Costos Fijos</t>
  </si>
  <si>
    <t xml:space="preserve">Justificación</t>
  </si>
  <si>
    <t xml:space="preserve">Dominio voltra.com.ar (NIC Argentina) — prorrateo mensual</t>
  </si>
  <si>
    <t xml:space="preserve">Fijo</t>
  </si>
  <si>
    <t xml:space="preserve">Alta, renovación y transferencia de un dominio .com.ar cuestan $8.500/año según el arancel oficial de NIC Argentina (ago-2026)</t>
  </si>
  <si>
    <t xml:space="preserve">Hosting del sitio (plan gratuito, sitio estático autogestionado)</t>
  </si>
  <si>
    <t xml:space="preserve">El sitio lo desarrollaron ustedes mismas; el plan gratuito de hosting estático alcanza para un catálogo + checkout vía WhatsApp/Mercado Pago.</t>
  </si>
  <si>
    <t xml:space="preserve">Monotributo / categoría impositiva</t>
  </si>
  <si>
    <t xml:space="preserve">Categoría acorde a la facturación mensual proyectada</t>
  </si>
  <si>
    <t xml:space="preserve">Honorarios contables</t>
  </si>
  <si>
    <t xml:space="preserve">Gestión impositiva y presentaciones mensuales</t>
  </si>
  <si>
    <t xml:space="preserve">Seguro de mercadería / responsabilidad civil</t>
  </si>
  <si>
    <t xml:space="preserve">Cobertura ante robo, incendio o daño del stock</t>
  </si>
  <si>
    <t xml:space="preserve">CRM / chatbot de atención (WhatsApp Business API)</t>
  </si>
  <si>
    <t xml:space="preserve">Automatización de consultas — el QR de la caja deriva acá</t>
  </si>
  <si>
    <t xml:space="preserve">Alquiler de monoambiente para depósito de stock (Avellaneda/GBA)</t>
  </si>
  <si>
    <t xml:space="preserve">Alquiler real relevado de monoambientes en Avellaneda (ago-2026): rango $250.000-$680.000/mes según ubicación y estado (Argenprop, Trovit, Buscainmueble); valor medio-bajo de $450.000/mes de alquiler base.</t>
  </si>
  <si>
    <t xml:space="preserve">Expensas y tasas municipales (Tasa de Seguridad e Higiene / ABL)</t>
  </si>
  <si>
    <t xml:space="preserve">Estimado en $90.000-$110.000/mes (punto medio $100.000), consistente con expensas reales de $78.840-$130.000/mes relevadas en monoambientes de Avellaneda (Argenprop).</t>
  </si>
  <si>
    <t xml:space="preserve">Internet y conectividad para el depósito/operación</t>
  </si>
  <si>
    <t xml:space="preserve">Rango de referencia $25.000-$35.000/mes para un plan de internet comercial básico; punto medio $30.000/mes.</t>
  </si>
  <si>
    <t xml:space="preserve">Insumos de limpieza y mantenimiento de depósito</t>
  </si>
  <si>
    <t xml:space="preserve">Valor de referencia provisto para el modelo revisado.</t>
  </si>
  <si>
    <t xml:space="preserve">TOTAL COSTOS FIJOS MENSUALES</t>
  </si>
  <si>
    <t xml:space="preserve">3. Costos Variables — Elaboración a Fasón (COGS, por caja de 4 barritas)</t>
  </si>
  <si>
    <t xml:space="preserve">Monto o %</t>
  </si>
  <si>
    <t xml:space="preserve">Base de cálculo</t>
  </si>
  <si>
    <t xml:space="preserve">Costo por caja ($)</t>
  </si>
  <si>
    <t xml:space="preserve">Ingredientes / materias primas (1 barrita de cada variedad, provistas a la fábrica fasón)</t>
  </si>
  <si>
    <t xml:space="preserve">Variable</t>
  </si>
  <si>
    <t xml:space="preserve">Ver hoja "Costeo por Barrita" (detalle ingrediente por ingrediente)</t>
  </si>
  <si>
    <t xml:space="preserve">Costeo detallado con precios de mercado reales por ingrediente, linkeado automáticamente</t>
  </si>
  <si>
    <t xml:space="preserve">Merma técnica de producción (sobre materias primas)</t>
  </si>
  <si>
    <t xml:space="preserve">% sobre el costo de materias primas (fila anterior)</t>
  </si>
  <si>
    <t xml:space="preserve">Merma estándar de producción industrial del 3% al 5% (se usó el punto medio, 4%) sobre el costo de insumos, por mermas de mezcla, extrusión y corte en la fábrica fasón.</t>
  </si>
  <si>
    <t xml:space="preserve">Fee de elaboración a fasón (mezcla, extrusión, corte y envasado individual)</t>
  </si>
  <si>
    <t xml:space="preserve">Costo directo por caja x4 terminada</t>
  </si>
  <si>
    <t xml:space="preserve">Referencia de mercado para fasón de barritas proteicas/energéticas en Argentina: $200-$350 por barrita terminada (~$800-$1.400 por caja x4). Se usó el punto medio, $1.100/caja.</t>
  </si>
  <si>
    <t xml:space="preserve">Costo del flete de abastecimiento por viaje (fábrica fasón → depósito Avellaneda, consolidado)</t>
  </si>
  <si>
    <t xml:space="preserve">Costo del viaje completo (no por caja)</t>
  </si>
  <si>
    <t xml:space="preserve">Flete chico local (CABA/GBA, hasta 10km) real relevado: $40.000-$90.000/viaje (Solvit, D'Angelis Logística, ago-2026). Se usó el punto medio, $65.000/viaje.</t>
  </si>
  <si>
    <t xml:space="preserve">Cajas por viaje (tamaño de lote de producción asumido)</t>
  </si>
  <si>
    <t xml:space="preserve">Supuesto editable — ajustá según el tamaño real del lote de fasón</t>
  </si>
  <si>
    <t xml:space="preserve">Lote intermedio entre la producción de Mes 1 (200 cajas) y Mes 6 (~500 cajas); a mayor lote, menor flete por caja.</t>
  </si>
  <si>
    <t xml:space="preserve">Flete de abastecimiento por caja (= costo del viaje / cajas por viaje)</t>
  </si>
  <si>
    <t xml:space="preserve">Costo de flete diluido por unidad, según el tamaño de lote asumido arriba.</t>
  </si>
  <si>
    <t xml:space="preserve">4. Costos Variables — Packaging y Despacho e-Commerce (por caja de 4 barritas)</t>
  </si>
  <si>
    <t xml:space="preserve">Packaging individual x4 (wrapper + etiqueta nutricional)</t>
  </si>
  <si>
    <t xml:space="preserve">Costo directo por caja (4 unidades)</t>
  </si>
  <si>
    <t xml:space="preserve">$120 por barrita x 4 unidades, precio de imprenta local (estimado)</t>
  </si>
  <si>
    <t xml:space="preserve">Packaging de la caja de entrenamiento (caja + QR chatbot + QR info)</t>
  </si>
  <si>
    <t xml:space="preserve">Costo directo por caja</t>
  </si>
  <si>
    <t xml:space="preserve">Caja de cartón impresa + inserto QR, precio de imprenta local (estimado)</t>
  </si>
  <si>
    <t xml:space="preserve">Embalaje exterior de despacho (bolsa e-commerce inviolable o sobre kraft/cartón protector)</t>
  </si>
  <si>
    <t xml:space="preserve">Costo directo por pedido</t>
  </si>
  <si>
    <t xml:space="preserve">Referencia de mercado provista: $150-$250 por pedido. Se usó el punto medio, $200.</t>
  </si>
  <si>
    <t xml:space="preserve">Cinta de embalar / faja de seguridad</t>
  </si>
  <si>
    <t xml:space="preserve">MixShop Mayorista — cinta 48x100 caja x36u = $51.999 → ~$1.444/rollo, dividido en ~45 paquetes sellados por rollo = ~$32/pedido (ago-2026).</t>
  </si>
  <si>
    <t xml:space="preserve">Etiqueta térmica autoadhesiva de despacho (guía de envío)</t>
  </si>
  <si>
    <t xml:space="preserve">Referencia de mercado provista: $25-$40 por paquete. Se usó el punto medio, $32,5.</t>
  </si>
  <si>
    <t xml:space="preserve">5. Envío y Comisión del Medio de Pago</t>
  </si>
  <si>
    <t xml:space="preserve">Envío / logística — costo real del courier (SE COBRA APARTE al cliente)</t>
  </si>
  <si>
    <t xml:space="preserve">No incluido</t>
  </si>
  <si>
    <t xml:space="preserve">Costo real por pedido — NO se suma al costo variable del producto</t>
  </si>
  <si>
    <t xml:space="preserve">El envío se cobra aparte al cliente (o se bonifica desde un monto mínimo de compra). El costo real del courier queda como referencia en la columna C para la hoja "Packs y Ticket Promedio".</t>
  </si>
  <si>
    <t xml:space="preserve">Comisión Mercado Pago (checkout en tienda propia)</t>
  </si>
  <si>
    <t xml:space="preserve">% sobre precio de venta</t>
  </si>
  <si>
    <t xml:space="preserve">Comisión de referencia Mercado Pago Argentina: 4,9% + IVA (21%) = 5,93% (Tiendanube, ago-2026)</t>
  </si>
  <si>
    <t xml:space="preserve">COSTO VARIABLE TOTAL POR CAJA</t>
  </si>
  <si>
    <t xml:space="preserve">Margen de Contribución Unitario (MC = PVU - VCU)</t>
  </si>
  <si>
    <t xml:space="preserve">Ratio de Margen de Contribución (CMR %)</t>
  </si>
  <si>
    <t xml:space="preserve">Ver también: hoja "Escenarios de Precio" (comparación $9.000/$10.000/$11.000/$12.000) y hoja "Packs y Ticket Promedio" (packs x8 y x12 para diluir el costo de envío y de flete de abastecimiento).</t>
  </si>
  <si>
    <t xml:space="preserve">6. Proyección de Costos — Próximos 6 Meses</t>
  </si>
  <si>
    <t xml:space="preserve">Mes 1</t>
  </si>
  <si>
    <t xml:space="preserve">Mes 2</t>
  </si>
  <si>
    <t xml:space="preserve">Mes 3</t>
  </si>
  <si>
    <t xml:space="preserve">Mes 4</t>
  </si>
  <si>
    <t xml:space="preserve">Mes 5</t>
  </si>
  <si>
    <t xml:space="preserve">Mes 6</t>
  </si>
  <si>
    <t xml:space="preserve">Unidades vendidas (cajas)</t>
  </si>
  <si>
    <t xml:space="preserve">Venta Bruta estimada</t>
  </si>
  <si>
    <t xml:space="preserve">Costos Fijos Totales</t>
  </si>
  <si>
    <t xml:space="preserve">Costos Variables Totales (unidades x costo variable unitario)</t>
  </si>
  <si>
    <t xml:space="preserve">COSTO TOTAL DEL MES (Fijos + Variables)</t>
  </si>
  <si>
    <t xml:space="preserve">Punto de Equilibrio del mes (unidades) = CF / (PVU-VCU)</t>
  </si>
  <si>
    <t xml:space="preserve">Nota: el Punto de Equilibrio compara costos fijos del mes contra el margen de contribución unitario (ver fórmula BEP en la Clase 4).</t>
  </si>
  <si>
    <t xml:space="preserve">VOLTRA — Escenarios de Precio de Venta (Caja x4)</t>
  </si>
  <si>
    <t xml:space="preserve">Comparación de precios y apertura real de marketing por canal (Meta Ads / TikTok Ads / UGC-Microinfluencers)</t>
  </si>
  <si>
    <t xml:space="preserve">Costo variable antes de fee (celdas amarillas = editable)</t>
  </si>
  <si>
    <t xml:space="preserve">Costo variable antes de fee — ingredientes, fasón, flete y packaging/despacho (por caja)</t>
  </si>
  <si>
    <t xml:space="preserve">Apertura de Marketing por canal (% de venta — foco en creadores)</t>
  </si>
  <si>
    <t xml:space="preserve">Meta Ads (Instagram Reels/Feed)</t>
  </si>
  <si>
    <t xml:space="preserve">30% del presupuesto total de marketing (15% de venta) → 4,5% de venta. Pauta paga en Reels y Feed de Instagram.</t>
  </si>
  <si>
    <t xml:space="preserve">TikTok Ads</t>
  </si>
  <si>
    <t xml:space="preserve">30% del presupuesto total de marketing → 4,5% de venta. Pauta paga en TikTok Ads (formato video corto).</t>
  </si>
  <si>
    <t xml:space="preserve">UGC / Microinfluencers fitness (fee + envío de producto)</t>
  </si>
  <si>
    <t xml:space="preserve">40% del presupuesto total de marketing → 6% de venta. Nano/microinfluencers fitness en Argentina cobran real $20.000-$40.000 por posteo/reel (D'Amico, iProfesional, ago-2026), más el producto enviado sin cargo.</t>
  </si>
  <si>
    <t xml:space="preserve">Marketing total (% de venta)</t>
  </si>
  <si>
    <t xml:space="preserve">Escenario</t>
  </si>
  <si>
    <t xml:space="preserve">Precio de Venta</t>
  </si>
  <si>
    <t xml:space="preserve">Fee Mercado Pago (5,93%)</t>
  </si>
  <si>
    <t xml:space="preserve">Costo Variable antes Marketing</t>
  </si>
  <si>
    <t xml:space="preserve">Margen de Contribución</t>
  </si>
  <si>
    <t xml:space="preserve">Margen después de Marketing</t>
  </si>
  <si>
    <t xml:space="preserve">Punto de Equilibrio (cajas/mes)</t>
  </si>
  <si>
    <t xml:space="preserve">$9.000</t>
  </si>
  <si>
    <t xml:space="preserve">$10.000</t>
  </si>
  <si>
    <t xml:space="preserve">$11.000</t>
  </si>
  <si>
    <t xml:space="preserve">$12.000</t>
  </si>
  <si>
    <t xml:space="preserve">Escenario recomendado para analizar: $11.000 (fila resaltada). El presupuesto de marketing se mantiene en 15% de la venta en total, pero ahora se abre en 3 canales reales: Meta Ads, TikTok Ads y UGC/microinfluencers — con foco en creadores (40% del presupuesto a UGC), que suelen rendir mejor costo-por-resultado que la pauta paga pura en marcas nuevas de nicho fitness.</t>
  </si>
  <si>
    <t xml:space="preserve">Lectura: el objetivo no es elegir el precio más alto posible ni copiar el de la competencia, sino encontrar uno que deje margen suficiente para cubrir costos fijos y marketing sin perder atractivo frente al cliente. El envío se cobra aparte del precio de la caja en todos los escenarios.</t>
  </si>
  <si>
    <t xml:space="preserve">VOLTRA — Packs x4 / x8 / x12 y Ticket Promedio</t>
  </si>
  <si>
    <t xml:space="preserve">Aumentar el ticket promedio y diluir el envío + el flete de abastecimiento a fasón entre más unidades</t>
  </si>
  <si>
    <t xml:space="preserve">Supuestos por pack (celdas amarillas = editable)</t>
  </si>
  <si>
    <t xml:space="preserve">Pack x4 (1 de c/variedad)</t>
  </si>
  <si>
    <t xml:space="preserve">Pack x8 (2 de c/variedad)</t>
  </si>
  <si>
    <t xml:space="preserve">Pack x12 (3 de c/variedad)</t>
  </si>
  <si>
    <t xml:space="preserve">Múltiplo de receta (packs de la caja base)</t>
  </si>
  <si>
    <t xml:space="preserve">Costo de ingredientes (linear — Costeo por Barrita x múltiplo)</t>
  </si>
  <si>
    <t xml:space="preserve">Merma técnica de producción (4% sobre ingredientes, linear)</t>
  </si>
  <si>
    <t xml:space="preserve">Fee de elaboración a fasón (linear — $1.100/caja x4 x múltiplo)</t>
  </si>
  <si>
    <t xml:space="preserve">Flete de abastecimiento (1 solo viaje consolidado, sea cual sea el pack — se diluye más en packs grandes)</t>
  </si>
  <si>
    <t xml:space="preserve">Packaging individual (linear — $120/barrita x 4 x múltiplo)</t>
  </si>
  <si>
    <t xml:space="preserve">Packaging de la caja exterior (NO linear — caja más grande, no 2x/3x)</t>
  </si>
  <si>
    <t xml:space="preserve">Embalaje exterior de despacho (bolsa/sobre — 1 por pedido, sea cual sea el pack)</t>
  </si>
  <si>
    <t xml:space="preserve">Cinta de embalar / faja de seguridad (1 por pedido)</t>
  </si>
  <si>
    <t xml:space="preserve">Etiqueta térmica autoadhesiva de despacho (1 por pedido)</t>
  </si>
  <si>
    <t xml:space="preserve">Costo variable antes de fee MP (ingredientes + fasón + flete + packaging/despacho)</t>
  </si>
  <si>
    <t xml:space="preserve">Envío real del courier (1 solo envío por pedido, sea cual sea el pack — cobrado aparte)</t>
  </si>
  <si>
    <t xml:space="preserve">Precio de venta sugerido (con descuento por volumen)</t>
  </si>
  <si>
    <t xml:space="preserve">Descuento vs. comprar packs x4 sueltos</t>
  </si>
  <si>
    <t xml:space="preserve">Comisión Mercado Pago (5,93% sobre precio)</t>
  </si>
  <si>
    <t xml:space="preserve">Costo variable total (sin envío — se cobra aparte)</t>
  </si>
  <si>
    <t xml:space="preserve">Margen de contribución</t>
  </si>
  <si>
    <t xml:space="preserve">Envío como % del ticket (referencia — lo paga el cliente aparte)</t>
  </si>
  <si>
    <t xml:space="preserve">Lectura: al pasar de x4 a x12, tanto el envío al cliente como el flete de abastecimiento a fasón (ambos cargos fijos por pedido/lote) representan un porcentaje cada vez menor del ticket — eso mejora el margen relativo de los packs grandes y facilita ofrecer envío gratis o bonificado a partir de cierto monto. La caja exterior tampoco crece al mismo ritmo que el contenido. Los packs x8 y x12 además acompañan la idea original de VOLTRA de tener una barrita para cada momento del día, con más variedad disponible en cada pedido.</t>
  </si>
  <si>
    <t xml:space="preserve">VOLTRA — Presupuesto de Lanzamiento y Primer Año</t>
  </si>
  <si>
    <t xml:space="preserve">Producción a fasón + depósito propio + marketing abierto por canal (Meta / TikTok / UGC) · Montos en ARS</t>
  </si>
  <si>
    <t xml:space="preserve">1. Inversión inicial de lanzamiento (pago único)</t>
  </si>
  <si>
    <t xml:space="preserve">Monto</t>
  </si>
  <si>
    <t xml:space="preserve">Registro de marca VOLTRA (INPI, clase alimentos)</t>
  </si>
  <si>
    <t xml:space="preserve">Protección legal de marca antes de escalar ventas</t>
  </si>
  <si>
    <t xml:space="preserve">Análisis nutricional y habilitación ANMAT/RNPA de las 4 fórmulas</t>
  </si>
  <si>
    <t xml:space="preserve">Obligatorio para vender alimentos envasados en Argentina</t>
  </si>
  <si>
    <t xml:space="preserve">Diseño de packaging (4 variantes: IGNITE, BUILD, HYDRO, JOY)</t>
  </si>
  <si>
    <t xml:space="preserve">Diseño gráfico + pruebas de impresión, según moodboard pastel/wellness</t>
  </si>
  <si>
    <t xml:space="preserve">Fotografía y video de producto para catálogo y redes</t>
  </si>
  <si>
    <t xml:space="preserve">Sesión profesional para la tienda online y pauta</t>
  </si>
  <si>
    <t xml:space="preserve">Registro de dominio voltra.com.ar (primer año)</t>
  </si>
  <si>
    <t xml:space="preserve">Alta del dominio en NIC Argentina — el sitio lo desarrollaron ustedes mismas, sin costo de agencia</t>
  </si>
  <si>
    <t xml:space="preserve">Stock inicial de inventario (500 cajas de entrenamiento, a costo de fasón)</t>
  </si>
  <si>
    <t xml:space="preserve">500 cajas x (ingredientes + merma técnica + fee de fasón + flete de abastecimiento diluido + packaging individual y de caja).</t>
  </si>
  <si>
    <t xml:space="preserve">Impresora térmica para guías de despacho (100x150mm)</t>
  </si>
  <si>
    <t xml:space="preserve">Referencia de mercado provista: $180.000-$260.000. Se usó el punto medio, $220.000.</t>
  </si>
  <si>
    <t xml:space="preserve">Estanterías metálicas + dispensador de cinta para orden de stock</t>
  </si>
  <si>
    <t xml:space="preserve">Racks/estanterías metálicas livianas para depósito, rango $150.000-$450.000 (MercadoLibre, ago-2026).</t>
  </si>
  <si>
    <t xml:space="preserve">Habilitación del depósito / control de plagas inicial</t>
  </si>
  <si>
    <t xml:space="preserve">Tratamiento inicial combinado cucarachas/hormigas + desratización (Servidos.ar, jul-2026).</t>
  </si>
  <si>
    <t xml:space="preserve">Campaña de lanzamiento (influencers + pauta inicial)</t>
  </si>
  <si>
    <t xml:space="preserve">Impulso inicial para dar a conocer las 4 variantes</t>
  </si>
  <si>
    <t xml:space="preserve">TOTAL INVERSIÓN INICIAL</t>
  </si>
  <si>
    <t xml:space="preserve">2. Presupuesto mensual — Primer Año (12 meses)</t>
  </si>
  <si>
    <t xml:space="preserve">Mes 7</t>
  </si>
  <si>
    <t xml:space="preserve">Mes 8</t>
  </si>
  <si>
    <t xml:space="preserve">Mes 9</t>
  </si>
  <si>
    <t xml:space="preserve">Mes 10</t>
  </si>
  <si>
    <t xml:space="preserve">Mes 11</t>
  </si>
  <si>
    <t xml:space="preserve">Mes 12</t>
  </si>
  <si>
    <t xml:space="preserve">Venta Bruta</t>
  </si>
  <si>
    <t xml:space="preserve">Costos Fijos (depósito, monotributo, contador, seguro, expensas, internet, limpieza, etc.)</t>
  </si>
  <si>
    <t xml:space="preserve">COGS a fasón (ingredientes + merma + fee de elaboración + flete de abastecimiento + packaging)</t>
  </si>
  <si>
    <t xml:space="preserve">Logística / envío (SE COBRA APARTE al cliente — no es costo neto de VOLTRA)</t>
  </si>
  <si>
    <t xml:space="preserve">Embalaje de despacho e-commerce (bolsa/sobre + cinta + etiqueta térmica)</t>
  </si>
  <si>
    <t xml:space="preserve">Fee Mercado Pago (checkout propio)</t>
  </si>
  <si>
    <t xml:space="preserve">Gestión de inventario (control de stock, mermas, reposición)</t>
  </si>
  <si>
    <t xml:space="preserve">Marketing — Meta Ads (Instagram Reels/Feed)</t>
  </si>
  <si>
    <t xml:space="preserve">Marketing — TikTok Ads</t>
  </si>
  <si>
    <t xml:space="preserve">Marketing — UGC / Microinfluencers fitness (fee + producto)</t>
  </si>
  <si>
    <t xml:space="preserve">Marketing total (Meta + TikTok + UGC)</t>
  </si>
  <si>
    <t xml:space="preserve">COSTO TOTAL DEL MES</t>
  </si>
  <si>
    <t xml:space="preserve">Resultado del mes (Venta Bruta - Costo Total)</t>
  </si>
  <si>
    <t xml:space="preserve">TOTAL ANUAL</t>
  </si>
  <si>
    <t xml:space="preserve">Venta Bruta Año 1</t>
  </si>
  <si>
    <t xml:space="preserve">Costo Total Año 1 (recurrente)</t>
  </si>
  <si>
    <t xml:space="preserve">+ Inversión inicial de lanzamiento</t>
  </si>
  <si>
    <t xml:space="preserve">PRESUPUESTO TOTAL AÑO 1 (lanzamiento + operación)</t>
  </si>
  <si>
    <t xml:space="preserve">VOLTRA — Profit &amp; Loss (PC1 a PC4)</t>
  </si>
  <si>
    <t xml:space="preserve">Mismo formato de Profit Contributions visto en Clase 4 · Comparación Mes 1 vs Mes 12 · Marketing abierto por canal · Montos en ARS</t>
  </si>
  <si>
    <t xml:space="preserve">Mes 1 ($)</t>
  </si>
  <si>
    <t xml:space="preserve">Mes 1 (%)</t>
  </si>
  <si>
    <t xml:space="preserve">Mes 12 ($)</t>
  </si>
  <si>
    <t xml:space="preserve">Mes 12 (%)</t>
  </si>
  <si>
    <t xml:space="preserve">(–) Devoluciones (estimado 1.5% de venta bruta)</t>
  </si>
  <si>
    <t xml:space="preserve">(–) Cancelaciones (estimado 0.5%)</t>
  </si>
  <si>
    <t xml:space="preserve">(–) Descuentos y promociones (estimado 1%)</t>
  </si>
  <si>
    <t xml:space="preserve">VENTA NETA</t>
  </si>
  <si>
    <t xml:space="preserve">GROSS PROFIT (Ganancia Bruta)</t>
  </si>
  <si>
    <t xml:space="preserve">GROSS MARGIN — PC1</t>
  </si>
  <si>
    <t xml:space="preserve">Selling Expenses (Costo Directo)</t>
  </si>
  <si>
    <t xml:space="preserve">Logística / envío (se cobra aparte al cliente — no impacta el P&amp;L de VOLTRA)</t>
  </si>
  <si>
    <t xml:space="preserve">Fee Mercado Pago</t>
  </si>
  <si>
    <t xml:space="preserve">Gestión de inventario / almacenaje</t>
  </si>
  <si>
    <t xml:space="preserve">CONTRIBUTION PROFIT PRE-MARKETING — PC2</t>
  </si>
  <si>
    <t xml:space="preserve">Marketing (apertura por canal)</t>
  </si>
  <si>
    <t xml:space="preserve">UGC / Microinfluencers fitness (fee + producto)</t>
  </si>
  <si>
    <t xml:space="preserve">CONTRIBUTION PROFIT — PC3</t>
  </si>
  <si>
    <t xml:space="preserve">G&amp;A (General &amp; Administrative)</t>
  </si>
  <si>
    <t xml:space="preserve">Costos fijos (depósito, expensas, internet, limpieza, monotributo, contador, seguro, CRM)</t>
  </si>
  <si>
    <t xml:space="preserve">EBITDA — PC4</t>
  </si>
  <si>
    <t xml:space="preserve">Lectura: comparar Mes 1 vs Mes 12 muestra cómo la dilución de costos fijos (G&amp;A) y las eficiencias de escala mejoran el EBITDA (PC4) a medida que crecen las unidades vendidas, replicando el análisis de PhoneMood visto en clase (Febrero vs Agosto). El marketing ya no es un bloque genérico del 15%: se abre en Meta Ads, TikTok Ads y UGC/microinfluencers, con foco en creadores (40% del presupuesto) por su mejor costo-por-resultado en una marca nueva de nicho fitness.</t>
  </si>
  <si>
    <t xml:space="preserve">Fórmulas de Margen de Contribución (Clase 4)</t>
  </si>
  <si>
    <t xml:space="preserve">MC = PVU - VCU</t>
  </si>
  <si>
    <t xml:space="preserve">CMR (%) = (PVU-VCU)/PVU x 100</t>
  </si>
  <si>
    <t xml:space="preserve">VOLTRA — Estrategias de Eficiencia, Escalabilidad e Incertidumbre</t>
  </si>
  <si>
    <t xml:space="preserve">Complemento cualitativo y cuantitativo al presupuesto de costos · Montos en pesos argentinos (ARS)</t>
  </si>
  <si>
    <t xml:space="preserve">1. Optimización: reducir costos sin afectar la calidad</t>
  </si>
  <si>
    <t xml:space="preserve">Estrategia</t>
  </si>
  <si>
    <t xml:space="preserve">Acción concreta</t>
  </si>
  <si>
    <t xml:space="preserve">Costo/línea impactada</t>
  </si>
  <si>
    <t xml:space="preserve">Ahorro estimado</t>
  </si>
  <si>
    <t xml:space="preserve">Compra consolidada de insumos</t>
  </si>
  <si>
    <t xml:space="preserve">Negociar precio por volumen de avena, proteína y dátiles con un único proveedor mayorista</t>
  </si>
  <si>
    <t xml:space="preserve">COGS por caja</t>
  </si>
  <si>
    <t xml:space="preserve">5-8% sobre COGS</t>
  </si>
  <si>
    <t xml:space="preserve">Packaging estandarizado</t>
  </si>
  <si>
    <t xml:space="preserve">Usar el mismo formato de caja/wrapper para las 4 variantes y diferenciar solo por etiqueta impresa</t>
  </si>
  <si>
    <t xml:space="preserve">Packaging individual + caja</t>
  </si>
  <si>
    <t xml:space="preserve">10-12% sobre packaging</t>
  </si>
  <si>
    <t xml:space="preserve">Envío por lote (batching)</t>
  </si>
  <si>
    <t xml:space="preserve">Agrupar pedidos por zona 2 veces por semana en lugar de envío diario individual</t>
  </si>
  <si>
    <t xml:space="preserve">Logística/envío</t>
  </si>
  <si>
    <t xml:space="preserve">15-20% sobre envío</t>
  </si>
  <si>
    <t xml:space="preserve">Automatización de atención (chatbot QR)</t>
  </si>
  <si>
    <t xml:space="preserve">El QR de la caja deriva a un chatbot que filtra consultas frecuentes antes de pasar a un humano</t>
  </si>
  <si>
    <t xml:space="preserve">Costo de atención al cliente</t>
  </si>
  <si>
    <t xml:space="preserve">Reduce la necesidad de personal dedicado</t>
  </si>
  <si>
    <t xml:space="preserve">Producción por lotes más grandes</t>
  </si>
  <si>
    <t xml:space="preserve">Aumentar el tamaño de cada tanda de producción para diluir el costo fijo de mano de obra por caja</t>
  </si>
  <si>
    <t xml:space="preserve">Mano de obra directa (parte del COGS)</t>
  </si>
  <si>
    <t xml:space="preserve">3-5% sobre COGS</t>
  </si>
  <si>
    <t xml:space="preserve">2. Escalabilidad: cómo evolucionan los costos al crecer</t>
  </si>
  <si>
    <t xml:space="preserve">Nivel de escala</t>
  </si>
  <si>
    <t xml:space="preserve">Unidades/mes (cajas)</t>
  </si>
  <si>
    <t xml:space="preserve">Costos Fijos</t>
  </si>
  <si>
    <t xml:space="preserve">Costo Variable Unitario</t>
  </si>
  <si>
    <t xml:space="preserve">% Costos Fijos s/ Venta</t>
  </si>
  <si>
    <t xml:space="preserve">Arranque (Mes 1)</t>
  </si>
  <si>
    <t xml:space="preserve">Consolidación (Mes 6)</t>
  </si>
  <si>
    <t xml:space="preserve">Escala (Mes 12)</t>
  </si>
  <si>
    <t xml:space="preserve">Expansión (x3 Mes 12, nuevas provincias)</t>
  </si>
  <si>
    <t xml:space="preserve">Lectura: los Costos Fijos no cambian con el volumen (por eso decrecen como % de la venta a medida que se escala), mientras que el Costo Variable Unitario se mantiene salvo que se logren descuentos por volumen — la fila de 'Expansión' asume que se negocian mejores condiciones de insumos y envío al triplicar el volumen (ver fila de Optimización 'Compra consolidada').</t>
  </si>
  <si>
    <t xml:space="preserve">Nota sobre expansión a nuevas provincias</t>
  </si>
  <si>
    <t xml:space="preserve">Al expandirse fuera de CABA/GBA aparecen costos nuevos no incluidos arriba: flete de larga distancia con mayor costo por envío y posible necesidad de un segundo depósito regional. Estos deben sumarse como nuevos costos fijos o variables al proyectar esa etapa.</t>
  </si>
  <si>
    <t xml:space="preserve">3. Incertidumbre: sensibilidad a la inflación en pesos</t>
  </si>
  <si>
    <t xml:space="preserve">Supuesto: los insumos (avena, proteína, dátiles, packaging) y el envío ajustan con la inflación general; el precio de venta y los costos fijos (alquileres, salarios) también se actualizan, pero no siempre al mismo ritmo ni al mismo tiempo.</t>
  </si>
  <si>
    <t xml:space="preserve">Escenario de inflación anual</t>
  </si>
  <si>
    <t xml:space="preserve">Aumento de insumos y envío</t>
  </si>
  <si>
    <t xml:space="preserve">Aumento de costos fijos (alquiler, salarios)</t>
  </si>
  <si>
    <t xml:space="preserve">Costo Variable Unitario ajustado</t>
  </si>
  <si>
    <t xml:space="preserve">Impacto en Margen de Contribución (si el precio no se actualiza)</t>
  </si>
  <si>
    <t xml:space="preserve">Escenario base (sin ajuste)</t>
  </si>
  <si>
    <t xml:space="preserve">Inflación moderada (+10% anual)</t>
  </si>
  <si>
    <t xml:space="preserve">Inflación alta (+25% anual)</t>
  </si>
  <si>
    <t xml:space="preserve">Inflación muy alta (+40% anual, salto brusco)</t>
  </si>
  <si>
    <t xml:space="preserve">Lectura: si la inflación sube los insumos un 25-40% anual y VOLTRA no actualiza el precio de venta al mismo ritmo, el margen de contribución unitario se achica mes a mes. Por eso conviene definir una política de revisión de precio (por ejemplo, trimestral) atada a la variación real de costos, en lugar de mantener el precio fijo todo el año.</t>
  </si>
  <si>
    <t xml:space="preserve">Otros factores de incertidumbre regulatoria a monitorear:</t>
  </si>
  <si>
    <t xml:space="preserve">• Cambios en la categoría de Monotributo por aumento de facturación (recategorización obligatoria, sube el costo fijo impositivo).</t>
  </si>
  <si>
    <t xml:space="preserve">• Actualización de exigencias de rotulado nutricional frontal (Ley de Etiquetado Frontal) que podría requerir rediseño de packaging.</t>
  </si>
  <si>
    <t xml:space="preserve">• Cambios en comisiones del medio de pago o en la normativa de facturación electrónica que afecten el costo por transacción.</t>
  </si>
  <si>
    <t xml:space="preserve">• Variación estacional en el costo de insumos agrícolas (avena, dátiles) según cosecha, que puede mover el COGS más allá de la inflación general.</t>
  </si>
  <si>
    <t xml:space="preserve">4. Revisión del modelo comercial: precio, envío, packs y CAC</t>
  </si>
  <si>
    <t xml:space="preserve">Modelo original</t>
  </si>
  <si>
    <t xml:space="preserve">Modelo revisado</t>
  </si>
  <si>
    <t xml:space="preserve">Criterio</t>
  </si>
  <si>
    <t xml:space="preserve">1.000 cajas</t>
  </si>
  <si>
    <t xml:space="preserve">500 cajas</t>
  </si>
  <si>
    <t xml:space="preserve">Bajar el desembolso inicial y reponer según demanda real (el mes 1 proyecta 200 unidades).</t>
  </si>
  <si>
    <t xml:space="preserve">Precio caja x4</t>
  </si>
  <si>
    <t xml:space="preserve">$11.000 (comparar $9.000-$12.000)</t>
  </si>
  <si>
    <t xml:space="preserve">A $9.000 el margen apenas cubre costos fijos + marketing; ver hoja "Escenarios de Precio".</t>
  </si>
  <si>
    <t xml:space="preserve">Envío</t>
  </si>
  <si>
    <t xml:space="preserve">Absorbido en el costo variable ($1.800/caja)</t>
  </si>
  <si>
    <t xml:space="preserve">Se cobra aparte al cliente (o se bonifica desde cierto monto)</t>
  </si>
  <si>
    <t xml:space="preserve">El costo real del courier se conserva como referencia logística, pero no reduce el margen del producto.</t>
  </si>
  <si>
    <t xml:space="preserve">Solo caja x4</t>
  </si>
  <si>
    <t xml:space="preserve">Agregar packs x8 y x12</t>
  </si>
  <si>
    <t xml:space="preserve">Sube el ticket promedio y diluye el costo de envío entre más unidades — ver hoja "Packs y Ticket Promedio".</t>
  </si>
  <si>
    <t xml:space="preserve">15% de la venta</t>
  </si>
  <si>
    <t xml:space="preserve">15% de la venta (sin cambios)</t>
  </si>
  <si>
    <t xml:space="preserve">Se mantiene el supuesto inicial, pero se debería medir junto al CAC (costo de adquisición de cliente) para saber cuánto conviene invertir por venta.</t>
  </si>
  <si>
    <t xml:space="preserve">Estructura fija</t>
  </si>
  <si>
    <t xml:space="preserve">Liviana</t>
  </si>
  <si>
    <t xml:space="preserve">Liviana (sin cambios)</t>
  </si>
  <si>
    <t xml:space="preserve">Evitar sumar herramientas o gastos que no sean necesarios desde el arranque; crecer la estructura a medida que crecen las ventas.</t>
  </si>
  <si>
    <t xml:space="preserve">CAC a monitorear: para que el 15% de marketing sea sostenible, el costo de adquirir un cliente nuevo (CAC) no debería superar el margen de contribución que deja esa primera compra. Con el precio de $11.000 y el margen de la hoja "Escenarios de Precio", conviene calcular el CAC real de las campañas (gasto en pauta / clientes nuevos conseguidos) y compararlo contra ese margen mes a mes, en vez de dejar el 15% fijo sin revisión.</t>
  </si>
  <si>
    <t xml:space="preserve">5. Producción tercerizada a fasón vs. producción propia</t>
  </si>
  <si>
    <t xml:space="preserve">Producción propia (descartada)</t>
  </si>
  <si>
    <t xml:space="preserve">Producción a fasón (modelo actual)</t>
  </si>
  <si>
    <t xml:space="preserve">Inversión en equipamiento</t>
  </si>
  <si>
    <t xml:space="preserve">Alta (mezcladoras, extrusora, envasadora)</t>
  </si>
  <si>
    <t xml:space="preserve">Ninguna — se paga un fee por unidad producida</t>
  </si>
  <si>
    <t xml:space="preserve">Evita inmovilizar capital en maquinaria antes de validar la demanda.</t>
  </si>
  <si>
    <t xml:space="preserve">Foco del equipo</t>
  </si>
  <si>
    <t xml:space="preserve">Dividido entre producción y comercial</t>
  </si>
  <si>
    <t xml:space="preserve">100% en marca, ventas y atención al cliente</t>
  </si>
  <si>
    <t xml:space="preserve">El depósito propio se dedica solo a picking, packing y control de calidad del producto recibido.</t>
  </si>
  <si>
    <t xml:space="preserve">Costo variable</t>
  </si>
  <si>
    <t xml:space="preserve">Menor por unidad, pero con costo fijo de planta</t>
  </si>
  <si>
    <t xml:space="preserve">Mayor por unidad (fee + merma + flete), sin costo fijo de planta</t>
  </si>
  <si>
    <t xml:space="preserve">Conviene cuando el volumen todavía no justifica una planta propia; se puede revisar al escalar.</t>
  </si>
  <si>
    <t xml:space="preserve">Control de calidad</t>
  </si>
  <si>
    <t xml:space="preserve">Directo, en la propia planta</t>
  </si>
  <si>
    <t xml:space="preserve">Se hace en el depósito al recibir cada lote terminado</t>
  </si>
  <si>
    <t xml:space="preserve">El depósito de Avellaneda funciona como punto de control antes de despachar al cliente.</t>
  </si>
  <si>
    <t xml:space="preserve">6. Incertidumbre — Exposición al Tipo de Cambio (Dólar)</t>
  </si>
  <si>
    <t xml:space="preserve">Varios insumos críticos de VOLTRA son commodities o materiales importados cuyo precio en pesos sigue de cerca al dólar: la proteína whey y la caseína (proteínas importadas/commodities dolarizados), la pasta de dátiles (fruta importada de Egipto/Argelia) y el film plástico BOPP del wrapper individual (resina derivada del petróleo, con precio de referencia en dólares). Una devaluación del peso encarece estos insumos en pesos, aunque el precio de venta de VOLTRA no se ajuste al mismo ritmo.</t>
  </si>
  <si>
    <t xml:space="preserve">Insumo dolarizado</t>
  </si>
  <si>
    <t xml:space="preserve">Por qué está dolarizado</t>
  </si>
  <si>
    <t xml:space="preserve">Costo actual por caja ($)</t>
  </si>
  <si>
    <t xml:space="preserve">Proteína aislada de suero (whey)</t>
  </si>
  <si>
    <t xml:space="preserve">Commodity lácteo importado/cotizado en dólares (Arla, Lacprodan y similares)</t>
  </si>
  <si>
    <t xml:space="preserve">Ídem whey: commodity lácteo importado</t>
  </si>
  <si>
    <t xml:space="preserve">Pasta de dátiles (HYDRO + JOY)</t>
  </si>
  <si>
    <t xml:space="preserve">Fruta importada de Egipto/Argelia, precio de origen en dólares</t>
  </si>
  <si>
    <t xml:space="preserve">Packaging individual (film BOPP del wrapper)</t>
  </si>
  <si>
    <t xml:space="preserve">Film plástico de resina derivada del petróleo, con precio de referencia dolarizado</t>
  </si>
  <si>
    <t xml:space="preserve">TOTAL costo dolarizado por caja</t>
  </si>
  <si>
    <t xml:space="preserve">% del costo variable total que está dolarizado</t>
  </si>
  <si>
    <t xml:space="preserve">Supuestos del escenario de devaluación (celdas amarillas = editable)</t>
  </si>
  <si>
    <t xml:space="preserve">Dólar blue de referencia (ago-sept 2026)</t>
  </si>
  <si>
    <t xml:space="preserve">Cotización real relevada (La Nación, El Cronista, Página/12, 3-4 sept 2026)</t>
  </si>
  <si>
    <t xml:space="preserve">Salto cambiario a simular</t>
  </si>
  <si>
    <t xml:space="preserve">Devaluación moderada (+20%) elegida para este análisis</t>
  </si>
  <si>
    <t xml:space="preserve">Escenario base</t>
  </si>
  <si>
    <t xml:space="preserve">Con devaluación +20%</t>
  </si>
  <si>
    <t xml:space="preserve">Diferencia</t>
  </si>
  <si>
    <t xml:space="preserve">Costo dolarizado por caja</t>
  </si>
  <si>
    <t xml:space="preserve">Costo variable total por caja</t>
  </si>
  <si>
    <t xml:space="preserve">Margen de Contribución Unitario</t>
  </si>
  <si>
    <t xml:space="preserve">Lectura: con ~21-22% del costo variable dolarizado, un salto del dólar del 20% encarece el costo variable de la caja en pesos, pero menos que proporcionalmente (porque no todo el costo está dolarizado). Aun así, si el precio de venta no se ajusta, el margen de contribución se achica. Recomendación: definir una política de revisión de precio ante saltos cambiarios superiores al 15-20%, similar a la práctica habitual de negocios que venden productos con componente en dólares en Argentina.</t>
  </si>
  <si>
    <t xml:space="preserve">7. Escalabilidad — Expansión a Nuevos Mercados (Interior del País)</t>
  </si>
  <si>
    <t xml:space="preserve">Vender fuera de AMBA implica un salto real en el costo de flete nacional, tiempos de tránsito más largos y, eventualmente, la necesidad de tercerizar el picking &amp; packing en un operador de fulfillment en vez de manejarlo desde el depósito propio de Avellaneda.</t>
  </si>
  <si>
    <t xml:space="preserve">Zona</t>
  </si>
  <si>
    <t xml:space="preserve">Costo de envío real (Andreani/Correo Arg.)</t>
  </si>
  <si>
    <t xml:space="preserve">Tiempo de tránsito</t>
  </si>
  <si>
    <t xml:space="preserve">Política de VOLTRA</t>
  </si>
  <si>
    <t xml:space="preserve">AMBA (CABA/GBA)</t>
  </si>
  <si>
    <t xml:space="preserve">$900 - $1.800</t>
  </si>
  <si>
    <t xml:space="preserve">3-5 días hábiles</t>
  </si>
  <si>
    <t xml:space="preserve">Envío con recargo a cargo del cliente según la zona exacta (ya modelado: $1.800 de referencia).</t>
  </si>
  <si>
    <t xml:space="preserve">Interior cercano</t>
  </si>
  <si>
    <t xml:space="preserve">$1.200 - $1.800</t>
  </si>
  <si>
    <t xml:space="preserve">5-7 días hábiles</t>
  </si>
  <si>
    <t xml:space="preserve">Recargo de envío a cargo del cliente, algo mayor que AMBA.</t>
  </si>
  <si>
    <t xml:space="preserve">Interior lejano</t>
  </si>
  <si>
    <t xml:space="preserve">$1.700 - $2.800</t>
  </si>
  <si>
    <t xml:space="preserve">7-15 días hábiles</t>
  </si>
  <si>
    <t xml:space="preserve">Recargo de envío mayor + bonificación total del envío en compras a partir de un monto mínimo (ej. packs x8/x12).</t>
  </si>
  <si>
    <t xml:space="preserve">Fuente: rangos reales relevados para Correo Argentino y Andreani (Tiendli, Correo Argentino Pro, ago-2026). Correo Argentino tiene la mayor cobertura geográfica (más de 5.000 sucursales en todo el país, incluyendo pueblos donde Andreani no llega), por lo que es la opción más realista para vender al interior profundo, aunque con tiempos de entrega más largos.</t>
  </si>
  <si>
    <t xml:space="preserve">Política de envío elegida: combinación de recargo por zona + bonificación por compra mínima</t>
  </si>
  <si>
    <t xml:space="preserve">El cliente ve el costo real de envío de su zona al pagar (AMBA, interior cercano o interior lejano), pero si compra un pack grande (x8 o x12) a partir de un monto mínimo, VOLTRA bonifica el envío completo. Esto aprovecha que el flete es un costo fijo por pedido: en un pack x12 representa un porcentaje mucho menor del ticket que en un pack x4 (ver hoja "Packs y Ticket Promedio"), por lo que bonificarlo ahí cuesta relativamente poco y funciona como incentivo de compra.</t>
  </si>
  <si>
    <t xml:space="preserve">Transición eventual: de depósito propio a operador de fulfillment tercerizado</t>
  </si>
  <si>
    <t xml:space="preserve">Mientras el volumen se concentre en AMBA, el depósito propio de Avellaneda alcanza para el picking &amp; packing. Si la venta al interior crece lo suficiente, conviene evaluar pasar a un operador de fulfillment tercerizado (ej. Moovex o Zipnova, con depósitos en el AMBA orientados a e-commerce chico/mediano, o eFull para volúmenes mayores): cobran de forma variable según lo que se almacena y despacha, en vez del alquiler fijo del monoambiente, lo que evita inmovilizar capital en un depósito más grande a medida que crece el volumen. La contra es perder el control directo sobre el control de calidad que hoy se hace en el depósito propio al recibir cada lote del fasón.</t>
  </si>
  <si>
    <t xml:space="preserve">Lectura: expandirse al interior no es gratis — el envío más caro y más lento puede afectar la conversión si no se comunica bien la política de recargo/bonificación. La combinación elegida (recargo por zona + envío gratis desde cierto monto) empuja a los clientes del interior hacia los packs grandes, que además son más rentables por caja (ver hoja "Packs y Ticket Promedio").</t>
  </si>
  <si>
    <t xml:space="preserve">8. Nuevo Canal — Retiro en Punto (Click &amp; Collect)</t>
  </si>
  <si>
    <t xml:space="preserve">Se suma la opción de retirar el pedido sin cargo en el depósito de Avellaneda o en puntos de retiro aliados (gimnasios y estudios de entrenamiento del barrio, coherente con el público de VOLTRA), como alternativa al envío a domicilio. El cliente elige esta opción al pagar en el checkout.</t>
  </si>
  <si>
    <t xml:space="preserve">Fuente / justificación</t>
  </si>
  <si>
    <t xml:space="preserve">% de clientes que preferiría retirar en punto (aunque no haya descuento)</t>
  </si>
  <si>
    <t xml:space="preserve">Dato real de mercado: ~25% de los compradores prefiere retiro en tienda aun sin diferencia de precio (Hablemos de eCommerce, jun-2026).</t>
  </si>
  <si>
    <t xml:space="preserve">% de esos clientes que compra algo extra al retirar (cross-sell)</t>
  </si>
  <si>
    <t xml:space="preserve">Casi el 50% de quienes retiran en punto compran algo más mientras están ahí (Hablemos de eCommerce, may-2026).</t>
  </si>
  <si>
    <t xml:space="preserve">Ahorro de envío para el cliente por pedido retirado</t>
  </si>
  <si>
    <t xml:space="preserve">El cliente se ahorra el costo real del courier ($1.800 de referencia), que hoy pagaría aparte si elige envío a domicilio.</t>
  </si>
  <si>
    <t xml:space="preserve">Nota sobre el margen de VOLTRA: como el envío ya se cobra aparte al cliente (no es costo de VOLTRA), sumar el retiro en punto no cambia el costo variable del producto — el beneficio es de conversión, no de margen. Al eliminar la fricción del costo de envío para ese ~25% de clientes que prefiere retirar, VOLTRA puede captar ventas que hoy abandona el carrito por el costo de envío, y sumar exhibición de marca en los gimnasios aliados que funcionan como punto de retiro.</t>
  </si>
  <si>
    <t xml:space="preserve">Cómo se integra con los canales que ya existen</t>
  </si>
  <si>
    <t xml:space="preserve">Canal</t>
  </si>
  <si>
    <t xml:space="preserve">Costo de envío para el cliente</t>
  </si>
  <si>
    <t xml:space="preserve">Rol estratégico</t>
  </si>
  <si>
    <t xml:space="preserve">Envío a domicilio (AMBA / interior)</t>
  </si>
  <si>
    <t xml:space="preserve">Recargo según zona (ver sección 7)</t>
  </si>
  <si>
    <t xml:space="preserve">Alcance nacional, conveniencia para quien no puede pasar a retirar.</t>
  </si>
  <si>
    <t xml:space="preserve">Retiro en depósito de Avellaneda</t>
  </si>
  <si>
    <t xml:space="preserve">Sin cargo</t>
  </si>
  <si>
    <t xml:space="preserve">Ideal para clientes cercanos al depósito; cero fricción de envío.</t>
  </si>
  <si>
    <t xml:space="preserve">Retiro en gimnasios/estudios aliados</t>
  </si>
  <si>
    <t xml:space="preserve">Acerca el producto al momento de entrenar, refuerza la marca en el punto de consumo y abre una vía de contacto con esos gimnasios para eventuales ventas mayoristas.</t>
  </si>
  <si>
    <t xml:space="preserve">Lectura: el retiro en punto no reemplaza el envío a domicilio, lo complementa — capta al ~25% de clientes sensibles al costo de envío y, si se arma con gimnasios aliados, funciona también como canal de marketing físico de bajo costo dentro del público objetivo de VOLTRA.</t>
  </si>
  <si>
    <t xml:space="preserve">9. Fidelización y Recompra</t>
  </si>
  <si>
    <t xml:space="preserve">El estudio anual de e-commerce en Argentina (CACE 2026) marca que el crecimiento del sector ya no depende tanto de captar clientes nuevos como de aumentar la frecuencia de compra y el ticket promedio dentro de la base existente. Para un producto de consumo recurrente como las barritas, esto es especialmente relevante.</t>
  </si>
  <si>
    <t xml:space="preserve">Cómo funciona</t>
  </si>
  <si>
    <t xml:space="preserve">Qué resuelve</t>
  </si>
  <si>
    <t xml:space="preserve">Suscripción mensual ("Plan VOLTRA")</t>
  </si>
  <si>
    <t xml:space="preserve">El cliente recibe automáticamente un pack x8 o x12 cada mes con un pequeño descuento (5-10%) por recurrencia.</t>
  </si>
  <si>
    <t xml:space="preserve">Convierte una compra puntual en ingreso recurrente y predecible; reduce el CAC efectivo al bajar la necesidad de reconquistar al cliente cada mes.</t>
  </si>
  <si>
    <t xml:space="preserve">Programa de puntos por caja comprada</t>
  </si>
  <si>
    <t xml:space="preserve">Cada caja suma puntos canjeables por una caja gratis o por descuento en el próximo pedido.</t>
  </si>
  <si>
    <t xml:space="preserve">Incentiva la recompra sin bajar el precio de lista; funciona bien combinado con el retiro en punto (sección 8).</t>
  </si>
  <si>
    <t xml:space="preserve">Contenido post-venta (recetas, rutinas)</t>
  </si>
  <si>
    <t xml:space="preserve">Se envía por WhatsApp/Instagram contenido de valor (cómo combinar las 4 variedades según el momento del día) a quien ya compró.</t>
  </si>
  <si>
    <t xml:space="preserve">Mantiene la marca presente entre compras sin gastar en pauta paga adicional; refuerza el uso de las 4 variedades.</t>
  </si>
  <si>
    <t xml:space="preserve">Lectura: no hace falta elegir una sola — la suscripción da previsibilidad de ventas para planificar mejor el lote de fasón y el flete de abastecimiento (ver hoja "Costos Fijos y Variables"), mientras que el programa de puntos y el contenido post-venta son de bajo costo y ayudan a sostener la frecuencia de compra.</t>
  </si>
  <si>
    <t xml:space="preserve">10. Posicionamiento Competitivo</t>
  </si>
  <si>
    <t xml:space="preserve">Eje</t>
  </si>
  <si>
    <t xml:space="preserve">VOLTRA</t>
  </si>
  <si>
    <t xml:space="preserve">Integra (competidor de referencia)</t>
  </si>
  <si>
    <t xml:space="preserve">Propuesta de valor</t>
  </si>
  <si>
    <t xml:space="preserve">4 variedades para 4 momentos del día distintos (pre-entreno, post-fuerza, post-running, snack) en una sola caja mixta.</t>
  </si>
  <si>
    <t xml:space="preserve">Catálogo amplio de barritas y combos, vendidos sobre todo por unidad o por combo homogéneo (mismo sabor).</t>
  </si>
  <si>
    <t xml:space="preserve">Precio por barrita</t>
  </si>
  <si>
    <t xml:space="preserve">≈ $2.750 (caja x4 a $11.000)</t>
  </si>
  <si>
    <t xml:space="preserve">≈ $2.100-2.375 (combo x10 o x20, ver hoja Precios de Ingredientes)</t>
  </si>
  <si>
    <t xml:space="preserve">Canal principal</t>
  </si>
  <si>
    <t xml:space="preserve">Tienda propia + retiro en punto/gimnasios aliados</t>
  </si>
  <si>
    <t xml:space="preserve">Tienda propia + venta mayorista/distribuidores (Alifrut, entre otros)</t>
  </si>
  <si>
    <t xml:space="preserve">Diferenciación</t>
  </si>
  <si>
    <t xml:space="preserve">Curaduría por momento del día + storytelling de marca nueva, más flexible para co-crear con gimnasios locales.</t>
  </si>
  <si>
    <t xml:space="preserve">Marca establecida, ya distribuida en dietéticas y mayoristas; ventaja de escala y reconocimiento.</t>
  </si>
  <si>
    <t xml:space="preserve">Lectura: VOLTRA compite en precio por barrita en la misma franja que Integra, así que la diferenciación no puede apoyarse solo en el precio — tiene que venir de la curaduría por momento del día, la relación directa con gimnasios como puntos de retiro, y la recompra vía suscripción/puntos (sección 9), más que de intentar igualar la escala de distribución de un competidor ya establecido.</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</si>
</sst>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0"/>
    <numFmt numFmtId="168" formatCode="#,##0"/>
    <numFmt numFmtId="169" formatCode="0.0"/>
    <numFmt numFmtId="170" formatCode="0.00"/>
    <numFmt numFmtId="171" formatCode="\$#,##0.00;&quot;($&quot;#,##0.00\);\-"/>
    <numFmt numFmtId="172" formatCode="0.00%"/>
    <numFmt numFmtId="173" formatCode="\$#,##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404040"/>
      <name val="Arial"/>
      <family val="0"/>
      <charset val="1"/>
    </font>
    <font>
      <b val="true"/>
      <sz val="12"/>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name val="Arial"/>
      <family val="0"/>
      <charset val="1"/>
    </font>
    <font>
      <sz val="10"/>
      <color rgb="FF0000FF"/>
      <name val="Arial"/>
      <family val="0"/>
      <charset val="1"/>
    </font>
    <font>
      <i val="true"/>
      <sz val="8"/>
      <color rgb="FF1155CC"/>
      <name val="Arial"/>
      <family val="0"/>
      <charset val="1"/>
    </font>
    <font>
      <u val="single"/>
      <sz val="9"/>
      <color rgb="FF0563C1"/>
      <name val="Arial"/>
      <family val="0"/>
      <charset val="1"/>
    </font>
    <font>
      <i val="true"/>
      <sz val="8"/>
      <color rgb="FF808080"/>
      <name val="Arial"/>
      <family val="0"/>
      <charset val="1"/>
    </font>
    <font>
      <b val="true"/>
      <sz val="12"/>
      <name val="Arial"/>
      <family val="0"/>
      <charset val="1"/>
    </font>
    <font>
      <sz val="10"/>
      <color rgb="FF1155CC"/>
      <name val="Arial"/>
      <family val="0"/>
      <charset val="1"/>
    </font>
  </fonts>
  <fills count="22">
    <fill>
      <patternFill patternType="none"/>
    </fill>
    <fill>
      <patternFill patternType="gray125"/>
    </fill>
    <fill>
      <patternFill patternType="solid">
        <fgColor rgb="FF1F1F1F"/>
        <bgColor rgb="FF333333"/>
      </patternFill>
    </fill>
    <fill>
      <patternFill patternType="solid">
        <fgColor rgb="FFD4A017"/>
        <bgColor rgb="FFFF6600"/>
      </patternFill>
    </fill>
    <fill>
      <patternFill patternType="solid">
        <fgColor rgb="FF333333"/>
        <bgColor rgb="FF404040"/>
      </patternFill>
    </fill>
    <fill>
      <patternFill patternType="solid">
        <fgColor rgb="FFE2EFDA"/>
        <bgColor rgb="FFD5F5E3"/>
      </patternFill>
    </fill>
    <fill>
      <patternFill patternType="solid">
        <fgColor rgb="FFFFFF00"/>
        <bgColor rgb="FFFFE699"/>
      </patternFill>
    </fill>
    <fill>
      <patternFill patternType="solid">
        <fgColor rgb="FFFADBD8"/>
        <bgColor rgb="FFFCE4D6"/>
      </patternFill>
    </fill>
    <fill>
      <patternFill patternType="solid">
        <fgColor rgb="FFBDD7EE"/>
        <bgColor rgb="FFD9D9D9"/>
      </patternFill>
    </fill>
    <fill>
      <patternFill patternType="solid">
        <fgColor rgb="FFD6EAF8"/>
        <bgColor rgb="FFDCE6F1"/>
      </patternFill>
    </fill>
    <fill>
      <patternFill patternType="solid">
        <fgColor rgb="FFD5F5E3"/>
        <bgColor rgb="FFE2EFDA"/>
      </patternFill>
    </fill>
    <fill>
      <patternFill patternType="solid">
        <fgColor rgb="FFFCF3CF"/>
        <bgColor rgb="FFFFF2CC"/>
      </patternFill>
    </fill>
    <fill>
      <patternFill patternType="solid">
        <fgColor rgb="FFDCE6F1"/>
        <bgColor rgb="FFD6EAF8"/>
      </patternFill>
    </fill>
    <fill>
      <patternFill patternType="solid">
        <fgColor rgb="FFE8D5C4"/>
        <bgColor rgb="FFD9D9D9"/>
      </patternFill>
    </fill>
    <fill>
      <patternFill patternType="solid">
        <fgColor rgb="FFD9D9D9"/>
        <bgColor rgb="FFE8D5C4"/>
      </patternFill>
    </fill>
    <fill>
      <patternFill patternType="solid">
        <fgColor rgb="FFFCE4D6"/>
        <bgColor rgb="FFFADBD8"/>
      </patternFill>
    </fill>
    <fill>
      <patternFill patternType="solid">
        <fgColor rgb="FFFFE699"/>
        <bgColor rgb="FFFFF2CC"/>
      </patternFill>
    </fill>
    <fill>
      <patternFill patternType="solid">
        <fgColor rgb="FFC6E0B4"/>
        <bgColor rgb="FFD5E8D4"/>
      </patternFill>
    </fill>
    <fill>
      <patternFill patternType="solid">
        <fgColor rgb="FFD5E8D4"/>
        <bgColor rgb="FFE2EFDA"/>
      </patternFill>
    </fill>
    <fill>
      <patternFill patternType="solid">
        <fgColor rgb="FF9DC3E6"/>
        <bgColor rgb="FFBFBFBF"/>
      </patternFill>
    </fill>
    <fill>
      <patternFill patternType="solid">
        <fgColor rgb="FFFFF2CC"/>
        <bgColor rgb="FFFCF3CF"/>
      </patternFill>
    </fill>
    <fill>
      <patternFill patternType="solid">
        <fgColor rgb="FFF8CBAD"/>
        <bgColor rgb="FFE8D5C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0" fillId="5"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8" fontId="10" fillId="5"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11" fillId="6"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7" borderId="0" xfId="0" applyFont="true" applyBorder="true" applyAlignment="true" applyProtection="false">
      <alignment horizontal="left" vertical="center" textRotation="0" wrapText="false" indent="1"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71" fontId="7" fillId="8" borderId="1" xfId="0" applyFont="true" applyBorder="true" applyAlignment="true" applyProtection="false">
      <alignment horizontal="general" vertical="bottom" textRotation="0" wrapText="false" indent="0" shrinkToFit="false"/>
      <protection locked="true" hidden="false"/>
    </xf>
    <xf numFmtId="164" fontId="15" fillId="9" borderId="0" xfId="0" applyFont="true" applyBorder="true" applyAlignment="true" applyProtection="false">
      <alignment horizontal="left" vertical="center" textRotation="0" wrapText="false" indent="1" shrinkToFit="false"/>
      <protection locked="true" hidden="false"/>
    </xf>
    <xf numFmtId="164" fontId="15" fillId="10" borderId="0" xfId="0" applyFont="true" applyBorder="true" applyAlignment="true" applyProtection="false">
      <alignment horizontal="left" vertical="center" textRotation="0" wrapText="false" indent="1" shrinkToFit="false"/>
      <protection locked="true" hidden="false"/>
    </xf>
    <xf numFmtId="164" fontId="15" fillId="11" borderId="0" xfId="0" applyFont="true" applyBorder="true" applyAlignment="true" applyProtection="false">
      <alignment horizontal="left" vertical="center" textRotation="0" wrapText="false" indent="1"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4" fontId="8" fillId="10" borderId="1" xfId="0" applyFont="true" applyBorder="true" applyAlignment="true" applyProtection="false">
      <alignment horizontal="general" vertical="bottom" textRotation="0" wrapText="false" indent="0" shrinkToFit="false"/>
      <protection locked="true" hidden="false"/>
    </xf>
    <xf numFmtId="164" fontId="8" fillId="11"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5" fontId="11" fillId="6" borderId="0" xfId="0" applyFont="true" applyBorder="false" applyAlignment="true" applyProtection="false">
      <alignment horizontal="general" vertical="bottom" textRotation="0" wrapText="false" indent="0" shrinkToFit="false"/>
      <protection locked="true" hidden="false"/>
    </xf>
    <xf numFmtId="168" fontId="11" fillId="6" borderId="0" xfId="0" applyFont="true" applyBorder="false" applyAlignment="true" applyProtection="false">
      <alignment horizontal="general" vertical="bottom" textRotation="0" wrapText="false" indent="0" shrinkToFit="false"/>
      <protection locked="true" hidden="false"/>
    </xf>
    <xf numFmtId="166" fontId="11" fillId="6" borderId="0" xfId="0" applyFont="true" applyBorder="false" applyAlignment="true" applyProtection="false">
      <alignment horizontal="general" vertical="bottom" textRotation="0" wrapText="false" indent="0" shrinkToFit="false"/>
      <protection locked="true" hidden="false"/>
    </xf>
    <xf numFmtId="164" fontId="8" fillId="12"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7" fillId="8" borderId="1" xfId="0" applyFont="true" applyBorder="true" applyAlignment="true" applyProtection="false">
      <alignment horizontal="general" vertical="bottom" textRotation="0" wrapText="false" indent="0" shrinkToFit="false"/>
      <protection locked="true" hidden="false"/>
    </xf>
    <xf numFmtId="164" fontId="6" fillId="13" borderId="0" xfId="0" applyFont="true" applyBorder="true" applyAlignment="true" applyProtection="false">
      <alignment horizontal="left" vertical="center" textRotation="0" wrapText="false" indent="1" shrinkToFit="false"/>
      <protection locked="true" hidden="false"/>
    </xf>
    <xf numFmtId="164" fontId="8" fillId="13"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8" fontId="11" fillId="6" borderId="1" xfId="0" applyFont="true" applyBorder="true" applyAlignment="true" applyProtection="false">
      <alignment horizontal="general" vertical="bottom" textRotation="0" wrapText="false" indent="0" shrinkToFit="false"/>
      <protection locked="true" hidden="false"/>
    </xf>
    <xf numFmtId="164" fontId="6" fillId="9" borderId="0" xfId="0" applyFont="true" applyBorder="true" applyAlignment="true" applyProtection="false">
      <alignment horizontal="left" vertical="center" textRotation="0" wrapText="false" indent="1" shrinkToFit="false"/>
      <protection locked="true" hidden="false"/>
    </xf>
    <xf numFmtId="164" fontId="8" fillId="14" borderId="1" xfId="0" applyFont="true" applyBorder="true" applyAlignment="true" applyProtection="false">
      <alignment horizontal="general" vertical="bottom" textRotation="0" wrapText="false" indent="0" shrinkToFit="false"/>
      <protection locked="true" hidden="false"/>
    </xf>
    <xf numFmtId="165" fontId="0" fillId="14" borderId="1" xfId="0" applyFont="false" applyBorder="true" applyAlignment="true" applyProtection="false">
      <alignment horizontal="general" vertical="bottom" textRotation="0" wrapText="false" indent="0" shrinkToFit="false"/>
      <protection locked="true" hidden="false"/>
    </xf>
    <xf numFmtId="164" fontId="8" fillId="15" borderId="1" xfId="0" applyFont="true" applyBorder="true" applyAlignment="true" applyProtection="false">
      <alignment horizontal="general" vertical="bottom" textRotation="0" wrapText="false" indent="0" shrinkToFit="false"/>
      <protection locked="true" hidden="false"/>
    </xf>
    <xf numFmtId="172" fontId="11" fillId="6"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5" fontId="8" fillId="12" borderId="1" xfId="0" applyFont="true" applyBorder="true" applyAlignment="true" applyProtection="false">
      <alignment horizontal="general" vertical="bottom" textRotation="0" wrapText="false" indent="0" shrinkToFit="false"/>
      <protection locked="true" hidden="false"/>
    </xf>
    <xf numFmtId="165" fontId="8" fillId="15" borderId="1" xfId="0" applyFont="true" applyBorder="true" applyAlignment="true" applyProtection="false">
      <alignment horizontal="general" vertical="bottom" textRotation="0" wrapText="false" indent="0" shrinkToFit="false"/>
      <protection locked="true" hidden="false"/>
    </xf>
    <xf numFmtId="167" fontId="8" fillId="5"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7" fillId="16" borderId="1" xfId="0" applyFont="true" applyBorder="true" applyAlignment="true" applyProtection="false">
      <alignment horizontal="general" vertical="bottom" textRotation="0" wrapText="false" indent="0" shrinkToFit="false"/>
      <protection locked="true" hidden="false"/>
    </xf>
    <xf numFmtId="165" fontId="7" fillId="16" borderId="1" xfId="0" applyFont="true" applyBorder="true" applyAlignment="true" applyProtection="false">
      <alignment horizontal="general" vertical="bottom" textRotation="0" wrapText="false" indent="0" shrinkToFit="false"/>
      <protection locked="true" hidden="false"/>
    </xf>
    <xf numFmtId="167" fontId="7" fillId="16"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6" fontId="0" fillId="17" borderId="1" xfId="0" applyFont="false" applyBorder="true" applyAlignment="true" applyProtection="false">
      <alignment horizontal="general" vertical="bottom" textRotation="0" wrapText="false" indent="0" shrinkToFit="false"/>
      <protection locked="true" hidden="false"/>
    </xf>
    <xf numFmtId="165" fontId="8" fillId="18" borderId="1" xfId="0" applyFont="true" applyBorder="true" applyAlignment="true" applyProtection="false">
      <alignment horizontal="general" vertical="bottom" textRotation="0" wrapText="false" indent="0" shrinkToFit="false"/>
      <protection locked="true" hidden="false"/>
    </xf>
    <xf numFmtId="165" fontId="7" fillId="18" borderId="1" xfId="0" applyFont="true" applyBorder="true" applyAlignment="true" applyProtection="false">
      <alignment horizontal="general" vertical="bottom" textRotation="0" wrapText="false" indent="0" shrinkToFit="false"/>
      <protection locked="true" hidden="false"/>
    </xf>
    <xf numFmtId="164" fontId="7" fillId="19" borderId="1" xfId="0" applyFont="true" applyBorder="true" applyAlignment="true" applyProtection="false">
      <alignment horizontal="general" vertical="bottom" textRotation="0" wrapText="false" indent="0" shrinkToFit="false"/>
      <protection locked="true" hidden="false"/>
    </xf>
    <xf numFmtId="165" fontId="7" fillId="19" borderId="1" xfId="0" applyFont="true" applyBorder="true" applyAlignment="true" applyProtection="false">
      <alignment horizontal="general" vertical="bottom" textRotation="0" wrapText="false" indent="0" shrinkToFit="false"/>
      <protection locked="true" hidden="false"/>
    </xf>
    <xf numFmtId="164" fontId="0" fillId="19" borderId="1" xfId="0" applyFont="false" applyBorder="true" applyAlignment="true" applyProtection="false">
      <alignment horizontal="general" vertical="bottom" textRotation="0" wrapText="false" indent="0" shrinkToFit="false"/>
      <protection locked="true" hidden="false"/>
    </xf>
    <xf numFmtId="164" fontId="7" fillId="20" borderId="1" xfId="0" applyFont="true" applyBorder="true" applyAlignment="true" applyProtection="false">
      <alignment horizontal="general" vertical="bottom" textRotation="0" wrapText="false" indent="0" shrinkToFit="false"/>
      <protection locked="true" hidden="false"/>
    </xf>
    <xf numFmtId="165" fontId="7" fillId="20" borderId="1" xfId="0" applyFont="true" applyBorder="true" applyAlignment="true" applyProtection="false">
      <alignment horizontal="general" vertical="bottom" textRotation="0" wrapText="false" indent="0" shrinkToFit="false"/>
      <protection locked="true" hidden="false"/>
    </xf>
    <xf numFmtId="164" fontId="0" fillId="20" borderId="1" xfId="0" applyFont="false" applyBorder="true" applyAlignment="true" applyProtection="false">
      <alignment horizontal="general" vertical="bottom" textRotation="0" wrapText="false" indent="0" shrinkToFit="false"/>
      <protection locked="true" hidden="false"/>
    </xf>
    <xf numFmtId="166" fontId="7" fillId="20" borderId="1" xfId="0" applyFont="true" applyBorder="true" applyAlignment="true" applyProtection="false">
      <alignment horizontal="general" vertical="bottom" textRotation="0" wrapText="false" indent="0" shrinkToFit="false"/>
      <protection locked="true" hidden="false"/>
    </xf>
    <xf numFmtId="164" fontId="7" fillId="15" borderId="1" xfId="0" applyFont="true" applyBorder="true" applyAlignment="true" applyProtection="false">
      <alignment horizontal="general" vertical="bottom" textRotation="0" wrapText="false" indent="0" shrinkToFit="false"/>
      <protection locked="true" hidden="false"/>
    </xf>
    <xf numFmtId="165" fontId="7" fillId="15" borderId="1" xfId="0" applyFont="true" applyBorder="true" applyAlignment="true" applyProtection="false">
      <alignment horizontal="general" vertical="bottom" textRotation="0" wrapText="false" indent="0" shrinkToFit="false"/>
      <protection locked="true" hidden="false"/>
    </xf>
    <xf numFmtId="166" fontId="7" fillId="15" borderId="1" xfId="0" applyFont="true" applyBorder="true" applyAlignment="true" applyProtection="false">
      <alignment horizontal="general" vertical="bottom" textRotation="0" wrapText="false" indent="0" shrinkToFit="false"/>
      <protection locked="true" hidden="false"/>
    </xf>
    <xf numFmtId="166" fontId="7" fillId="19" borderId="1"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true" applyAlignment="true" applyProtection="false">
      <alignment horizontal="general" vertical="bottom" textRotation="0" wrapText="false" indent="0" shrinkToFit="false"/>
      <protection locked="true" hidden="false"/>
    </xf>
    <xf numFmtId="166" fontId="8" fillId="0" borderId="0" xfId="0" applyFont="true" applyBorder="true" applyAlignment="true" applyProtection="false">
      <alignment horizontal="general" vertical="bottom" textRotation="0" wrapText="false" indent="0" shrinkToFit="false"/>
      <protection locked="true" hidden="false"/>
    </xf>
    <xf numFmtId="164" fontId="8" fillId="17"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64" fontId="8" fillId="21" borderId="1" xfId="0" applyFont="true" applyBorder="true" applyAlignment="true" applyProtection="false">
      <alignment horizontal="general" vertical="bottom" textRotation="0" wrapText="false" indent="0" shrinkToFit="false"/>
      <protection locked="true" hidden="false"/>
    </xf>
    <xf numFmtId="166" fontId="8" fillId="21" borderId="1" xfId="0" applyFont="true" applyBorder="true" applyAlignment="true" applyProtection="false">
      <alignment horizontal="general" vertical="bottom" textRotation="0" wrapText="false" indent="0" shrinkToFit="false"/>
      <protection locked="true" hidden="false"/>
    </xf>
    <xf numFmtId="165" fontId="8" fillId="21"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73" fontId="11" fillId="6" borderId="1" xfId="0" applyFont="true" applyBorder="true" applyAlignment="true" applyProtection="false">
      <alignment horizontal="general" vertical="bottom" textRotation="0" wrapText="false" indent="0" shrinkToFit="false"/>
      <protection locked="true" hidden="false"/>
    </xf>
    <xf numFmtId="171" fontId="7" fillId="5"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DCE6F1"/>
      <rgbColor rgb="FF993366"/>
      <rgbColor rgb="FFFCF3CF"/>
      <rgbColor rgb="FFD6EAF8"/>
      <rgbColor rgb="FF660066"/>
      <rgbColor rgb="FFFCE4D6"/>
      <rgbColor rgb="FF0563C1"/>
      <rgbColor rgb="FFBDD7EE"/>
      <rgbColor rgb="FF000080"/>
      <rgbColor rgb="FFFF00FF"/>
      <rgbColor rgb="FFFFF2CC"/>
      <rgbColor rgb="FF00FFFF"/>
      <rgbColor rgb="FF800080"/>
      <rgbColor rgb="FF800000"/>
      <rgbColor rgb="FF008080"/>
      <rgbColor rgb="FF0000FF"/>
      <rgbColor rgb="FF00CCFF"/>
      <rgbColor rgb="FFE2EFDA"/>
      <rgbColor rgb="FFD5F5E3"/>
      <rgbColor rgb="FFFFE699"/>
      <rgbColor rgb="FF9DC3E6"/>
      <rgbColor rgb="FFE8D5C4"/>
      <rgbColor rgb="FFD9D9D9"/>
      <rgbColor rgb="FFF8CBAD"/>
      <rgbColor rgb="FF1155CC"/>
      <rgbColor rgb="FF33CCCC"/>
      <rgbColor rgb="FFD5E8D4"/>
      <rgbColor rgb="FFFADBD8"/>
      <rgbColor rgb="FFD4A017"/>
      <rgbColor rgb="FFFF6600"/>
      <rgbColor rgb="FF666699"/>
      <rgbColor rgb="FFC6E0B4"/>
      <rgbColor rgb="FF003366"/>
      <rgbColor rgb="FF339966"/>
      <rgbColor rgb="FF003300"/>
      <rgbColor rgb="FF1F1F1F"/>
      <rgbColor rgb="FF993300"/>
      <rgbColor rgb="FF993366"/>
      <rgbColor rgb="FF40404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lifrut-distribuidora.com.ar/productos/avena-tradicional-mediana/" TargetMode="External"/><Relationship Id="rId2" Type="http://schemas.openxmlformats.org/officeDocument/2006/relationships/hyperlink" Target="https://www.alifrut-distribuidora.com.ar/productos/miel-liquida-x1kg-pet/" TargetMode="External"/><Relationship Id="rId3" Type="http://schemas.openxmlformats.org/officeDocument/2006/relationships/hyperlink" Target="http://uriburufs.com.ar/producto.php?codigo=43" TargetMode="External"/><Relationship Id="rId4" Type="http://schemas.openxmlformats.org/officeDocument/2006/relationships/hyperlink" Target="https://www.sprinklesmore.com/brand/167-pomona" TargetMode="External"/><Relationship Id="rId5" Type="http://schemas.openxmlformats.org/officeDocument/2006/relationships/hyperlink" Target="https://www.aesasrl.com/productos/albumina-liquida-pasteurizada-sachet-x-10-litros/" TargetMode="External"/><Relationship Id="rId6" Type="http://schemas.openxmlformats.org/officeDocument/2006/relationships/hyperlink" Target="https://dgmmateriasprimas.com.ar/product/aceite-de-girasol-sin-tacc-natura-bidon-x-5-lts/" TargetMode="External"/><Relationship Id="rId7" Type="http://schemas.openxmlformats.org/officeDocument/2006/relationships/hyperlink" Target="https://puestoverde.com.ar/productos/canela-en-polvo-1kg/" TargetMode="External"/><Relationship Id="rId8" Type="http://schemas.openxmlformats.org/officeDocument/2006/relationships/hyperlink" Target="https://dgmmateriasprimas.com.ar/product/extracto-natural-de-vainilla-el-castillo-bot-x-1-lt/" TargetMode="External"/><Relationship Id="rId9" Type="http://schemas.openxmlformats.org/officeDocument/2006/relationships/hyperlink" Target="https://www.olivadonmateo.com.ar/productos/esencia-sweet-chef-sabor-caramelo-x-30cc/" TargetMode="External"/><Relationship Id="rId10" Type="http://schemas.openxmlformats.org/officeDocument/2006/relationships/hyperlink" Target="https://www.alifrut-distribuidora.com.ar/productos/sal-marina-fina-x500gr-macrozen/" TargetMode="External"/><Relationship Id="rId11" Type="http://schemas.openxmlformats.org/officeDocument/2006/relationships/hyperlink" Target="https://www.noxiisuplementos.com.ar/productos/whey-protein-100-pure-1kg-sin-sabor-body-advance/" TargetMode="External"/><Relationship Id="rId12" Type="http://schemas.openxmlformats.org/officeDocument/2006/relationships/hyperlink" Target="https://www.noxiisuplementos.com.ar/productos/whey-protein-100-pure-1kg-sin-sabor-body-advance/" TargetMode="External"/><Relationship Id="rId13" Type="http://schemas.openxmlformats.org/officeDocument/2006/relationships/hyperlink" Target="https://www.mercadolibre.com.ar/arroz-inflado-azucarado-burbujas-x-5-kgrs/up/MLAU304540013" TargetMode="External"/><Relationship Id="rId14" Type="http://schemas.openxmlformats.org/officeDocument/2006/relationships/hyperlink" Target="https://www.alifrut-distribuidora.com.ar/productos/avena-tradicional-mediana/" TargetMode="External"/><Relationship Id="rId15" Type="http://schemas.openxmlformats.org/officeDocument/2006/relationships/hyperlink" Target="https://www.aesasrl.com/productos/maltodextrina-bolsa-x-25-kgs/" TargetMode="External"/><Relationship Id="rId16" Type="http://schemas.openxmlformats.org/officeDocument/2006/relationships/hyperlink" Target="https://www.alifrut-distribuidora.com.ar/productos/pasta-de-mani-sin-azucar-natural-x370gr-entre-nuts/" TargetMode="External"/><Relationship Id="rId17" Type="http://schemas.openxmlformats.org/officeDocument/2006/relationships/hyperlink" Target="https://newgarden.com.ar/pasta-de-almendras-dicomere-170g.html" TargetMode="External"/><Relationship Id="rId18" Type="http://schemas.openxmlformats.org/officeDocument/2006/relationships/hyperlink" Target="https://www.alifrut-distribuidora.com.ar/productos/almendras-non-pareil-mediana/" TargetMode="External"/><Relationship Id="rId19" Type="http://schemas.openxmlformats.org/officeDocument/2006/relationships/hyperlink" Target="https://www.quimicat.com.ar/productos/m01161kg/" TargetMode="External"/><Relationship Id="rId20" Type="http://schemas.openxmlformats.org/officeDocument/2006/relationships/hyperlink" Target="https://newgarden.com.ar/pasta-de-datil-1kg.html" TargetMode="External"/><Relationship Id="rId21" Type="http://schemas.openxmlformats.org/officeDocument/2006/relationships/hyperlink" Target="https://www.mercadolibre.com.ar/arroz-inflado-azucarado-burbujas-x-5-kgrs/up/MLAU304540013" TargetMode="External"/><Relationship Id="rId22" Type="http://schemas.openxmlformats.org/officeDocument/2006/relationships/hyperlink" Target="https://www.facilitarshop.com/productos/proteina-aislada-de-arveja-y-arroz-1kg-sin-sabor-dulkre-sport-x3-unidades-rihes/" TargetMode="External"/><Relationship Id="rId23" Type="http://schemas.openxmlformats.org/officeDocument/2006/relationships/hyperlink" Target="https://www.quimicat.com.ar/productos/m3331x100/" TargetMode="External"/><Relationship Id="rId24" Type="http://schemas.openxmlformats.org/officeDocument/2006/relationships/hyperlink" Target="https://www.hedgehogsuplementos.com.ar/productos/citrato-de-potasio-edn-1-kg-usp-maxima-calidad-importado/" TargetMode="External"/><Relationship Id="rId25" Type="http://schemas.openxmlformats.org/officeDocument/2006/relationships/hyperlink" Target="https://www.hedgehogsuplementos.com.ar/productos/citrato-de-magnesio-edn-1-kg-usp-maxima-calidad-importado/" TargetMode="External"/><Relationship Id="rId26" Type="http://schemas.openxmlformats.org/officeDocument/2006/relationships/hyperlink" Target="https://www.alifrut-distribuidora.com.ar/productos/sal-marina-fina-x500gr-macrozen/" TargetMode="External"/><Relationship Id="rId27" Type="http://schemas.openxmlformats.org/officeDocument/2006/relationships/hyperlink" Target="https://chitza.com.ar/producto/esencia-caramelo-sweet-chef-30-cc/" TargetMode="External"/><Relationship Id="rId28" Type="http://schemas.openxmlformats.org/officeDocument/2006/relationships/hyperlink" Target="https://www.alifrut-distribuidora.com.ar/productos/cacao-amargo-alcalino-premium-pva9h/" TargetMode="External"/><Relationship Id="rId29" Type="http://schemas.openxmlformats.org/officeDocument/2006/relationships/hyperlink" Target="http://www.uriburufs.com.ar/producto.php?codigo=15" TargetMode="External"/><Relationship Id="rId30" Type="http://schemas.openxmlformats.org/officeDocument/2006/relationships/hyperlink" Target="https://newgarden.com.ar/pasta-de-avellanas-dicomere-170g.html" TargetMode="External"/><Relationship Id="rId31" Type="http://schemas.openxmlformats.org/officeDocument/2006/relationships/hyperlink" Target="https://www.somosintegra.com.ar/productos/combo-20-barras-proteica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20"/>
  </cols>
  <sheetData>
    <row r="1" customFormat="false" ht="27.75" hidden="false" customHeight="true" outlineLevel="0" collapsed="false">
      <c r="A1" s="2" t="s">
        <v>0</v>
      </c>
      <c r="B1" s="2"/>
      <c r="C1" s="2"/>
    </row>
    <row r="2" customFormat="false" ht="18" hidden="false" customHeight="true" outlineLevel="0" collapsed="false">
      <c r="A2" s="3" t="s">
        <v>1</v>
      </c>
      <c r="B2" s="3"/>
      <c r="C2" s="3"/>
    </row>
    <row r="4" customFormat="false" ht="19.5" hidden="false" customHeight="true" outlineLevel="0" collapsed="false">
      <c r="A4" s="4" t="s">
        <v>2</v>
      </c>
      <c r="B4" s="4"/>
      <c r="C4" s="4"/>
    </row>
    <row r="5" customFormat="false" ht="48" hidden="false" customHeight="true" outlineLevel="0" collapsed="false">
      <c r="A5" s="5" t="s">
        <v>3</v>
      </c>
      <c r="B5" s="6" t="s">
        <v>4</v>
      </c>
      <c r="C5" s="6"/>
    </row>
    <row r="6" customFormat="false" ht="48" hidden="false" customHeight="true" outlineLevel="0" collapsed="false">
      <c r="A6" s="5" t="s">
        <v>5</v>
      </c>
      <c r="B6" s="6" t="s">
        <v>6</v>
      </c>
      <c r="C6" s="6"/>
    </row>
    <row r="7" customFormat="false" ht="48" hidden="false" customHeight="true" outlineLevel="0" collapsed="false">
      <c r="A7" s="5" t="s">
        <v>7</v>
      </c>
      <c r="B7" s="6" t="s">
        <v>8</v>
      </c>
      <c r="C7" s="6"/>
    </row>
    <row r="8" customFormat="false" ht="48" hidden="false" customHeight="true" outlineLevel="0" collapsed="false">
      <c r="A8" s="5" t="s">
        <v>9</v>
      </c>
      <c r="B8" s="6" t="s">
        <v>10</v>
      </c>
      <c r="C8" s="6"/>
    </row>
    <row r="9" customFormat="false" ht="48" hidden="false" customHeight="true" outlineLevel="0" collapsed="false">
      <c r="A9" s="5" t="s">
        <v>11</v>
      </c>
      <c r="B9" s="6" t="s">
        <v>12</v>
      </c>
      <c r="C9" s="6"/>
    </row>
    <row r="10" customFormat="false" ht="48" hidden="false" customHeight="true" outlineLevel="0" collapsed="false">
      <c r="A10" s="5" t="s">
        <v>13</v>
      </c>
      <c r="B10" s="6" t="s">
        <v>14</v>
      </c>
      <c r="C10" s="6"/>
    </row>
    <row r="11" customFormat="false" ht="48" hidden="false" customHeight="true" outlineLevel="0" collapsed="false">
      <c r="A11" s="5" t="s">
        <v>15</v>
      </c>
      <c r="B11" s="6" t="s">
        <v>16</v>
      </c>
      <c r="C11" s="6"/>
    </row>
    <row r="13" customFormat="false" ht="19.5" hidden="false" customHeight="true" outlineLevel="0" collapsed="false">
      <c r="A13" s="4" t="s">
        <v>17</v>
      </c>
      <c r="B13" s="4"/>
      <c r="C13" s="4"/>
    </row>
    <row r="14" customFormat="false" ht="15" hidden="false" customHeight="true" outlineLevel="0" collapsed="false">
      <c r="A14" s="7" t="s">
        <v>18</v>
      </c>
      <c r="B14" s="7" t="s">
        <v>19</v>
      </c>
      <c r="C14" s="7"/>
    </row>
    <row r="15" customFormat="false" ht="15" hidden="false" customHeight="true" outlineLevel="0" collapsed="false">
      <c r="A15" s="8" t="s">
        <v>20</v>
      </c>
      <c r="B15" s="9" t="n">
        <f aca="false">'Costos Fijos y Variables'!E26</f>
        <v>2702.025</v>
      </c>
      <c r="C15" s="9"/>
    </row>
    <row r="16" customFormat="false" ht="15" hidden="false" customHeight="true" outlineLevel="0" collapsed="false">
      <c r="A16" s="8" t="s">
        <v>21</v>
      </c>
      <c r="B16" s="9" t="n">
        <f aca="false">'Costos Fijos y Variables'!E27+'Costos Fijos y Variables'!E28</f>
        <v>1208.081</v>
      </c>
      <c r="C16" s="9"/>
    </row>
    <row r="17" customFormat="false" ht="15" hidden="false" customHeight="true" outlineLevel="0" collapsed="false">
      <c r="A17" s="8" t="s">
        <v>22</v>
      </c>
      <c r="B17" s="9" t="n">
        <f aca="false">'Costos Fijos y Variables'!E31</f>
        <v>260</v>
      </c>
      <c r="C17" s="9"/>
    </row>
    <row r="18" customFormat="false" ht="15" hidden="false" customHeight="true" outlineLevel="0" collapsed="false">
      <c r="A18" s="8" t="s">
        <v>23</v>
      </c>
      <c r="B18" s="9" t="n">
        <f aca="false">'Costos Fijos y Variables'!E35+'Costos Fijos y Variables'!E36</f>
        <v>830</v>
      </c>
      <c r="C18" s="9"/>
    </row>
    <row r="19" customFormat="false" ht="15" hidden="false" customHeight="true" outlineLevel="0" collapsed="false">
      <c r="A19" s="8" t="s">
        <v>24</v>
      </c>
      <c r="B19" s="9" t="n">
        <f aca="false">'Costos Fijos y Variables'!E37+'Costos Fijos y Variables'!E38+'Costos Fijos y Variables'!E39</f>
        <v>264.5</v>
      </c>
      <c r="C19" s="9"/>
    </row>
    <row r="20" customFormat="false" ht="15" hidden="false" customHeight="true" outlineLevel="0" collapsed="false">
      <c r="A20" s="8" t="s">
        <v>25</v>
      </c>
      <c r="B20" s="9" t="n">
        <f aca="false">'Escenarios de Precio'!B5</f>
        <v>5264.606</v>
      </c>
      <c r="C20" s="9"/>
    </row>
    <row r="21" customFormat="false" ht="15" hidden="false" customHeight="true" outlineLevel="0" collapsed="false">
      <c r="A21" s="8" t="s">
        <v>26</v>
      </c>
      <c r="B21" s="9" t="n">
        <f aca="false">'Costos Fijos y Variables'!B6</f>
        <v>11000</v>
      </c>
      <c r="C21" s="9"/>
    </row>
    <row r="22" customFormat="false" ht="15" hidden="false" customHeight="true" outlineLevel="0" collapsed="false">
      <c r="A22" s="8" t="s">
        <v>27</v>
      </c>
      <c r="B22" s="9" t="n">
        <f aca="false">'Costos Fijos y Variables'!B6*'Costos Fijos y Variables'!C44</f>
        <v>652.3</v>
      </c>
      <c r="C22" s="9"/>
    </row>
    <row r="23" customFormat="false" ht="15" hidden="false" customHeight="true" outlineLevel="0" collapsed="false">
      <c r="A23" s="8" t="s">
        <v>28</v>
      </c>
      <c r="B23" s="9" t="n">
        <f aca="false">'Costos Fijos y Variables'!E46</f>
        <v>5083.094</v>
      </c>
      <c r="C23" s="9"/>
    </row>
    <row r="24" customFormat="false" ht="15" hidden="false" customHeight="true" outlineLevel="0" collapsed="false">
      <c r="A24" s="8" t="s">
        <v>29</v>
      </c>
      <c r="B24" s="9" t="n">
        <f aca="false">'Costos Fijos y Variables'!E46-('Costos Fijos y Variables'!B6*'Escenarios de Precio'!B11)</f>
        <v>3433.094</v>
      </c>
      <c r="C24" s="9"/>
    </row>
    <row r="25" customFormat="false" ht="15" hidden="false" customHeight="true" outlineLevel="0" collapsed="false">
      <c r="A25" s="8" t="s">
        <v>30</v>
      </c>
      <c r="B25" s="10" t="n">
        <f aca="false">'Costos Fijos y Variables'!E47</f>
        <v>0.462099454545455</v>
      </c>
      <c r="C25" s="10"/>
    </row>
    <row r="26" customFormat="false" ht="15" hidden="false" customHeight="true" outlineLevel="0" collapsed="false">
      <c r="A26" s="8" t="s">
        <v>31</v>
      </c>
      <c r="B26" s="11" t="n">
        <f aca="false">'Costos Fijos y Variables'!C22/('Costos Fijos y Variables'!E46-('Costos Fijos y Variables'!B6*'Escenarios de Precio'!B11))</f>
        <v>215.755331293968</v>
      </c>
      <c r="C26" s="11"/>
    </row>
    <row r="27" customFormat="false" ht="15" hidden="false" customHeight="true" outlineLevel="0" collapsed="false">
      <c r="A27" s="8" t="s">
        <v>32</v>
      </c>
      <c r="B27" s="12" t="n">
        <f aca="false">500</f>
        <v>500</v>
      </c>
      <c r="C27" s="12"/>
    </row>
    <row r="29" customFormat="false" ht="19.5" hidden="false" customHeight="true" outlineLevel="0" collapsed="false">
      <c r="A29" s="4" t="s">
        <v>33</v>
      </c>
      <c r="B29" s="4"/>
      <c r="C29" s="4"/>
    </row>
    <row r="30" customFormat="false" ht="79.5" hidden="false" customHeight="true" outlineLevel="0" collapsed="false">
      <c r="A30" s="13" t="s">
        <v>34</v>
      </c>
      <c r="B30" s="13"/>
      <c r="C30" s="13"/>
    </row>
    <row r="32" customFormat="false" ht="15" hidden="false" customHeight="true" outlineLevel="0" collapsed="false">
      <c r="A32" s="14" t="s">
        <v>35</v>
      </c>
    </row>
    <row r="33" customFormat="false" ht="27.75" hidden="false" customHeight="true" outlineLevel="0" collapsed="false">
      <c r="A33" s="5" t="s">
        <v>36</v>
      </c>
      <c r="B33" s="6" t="s">
        <v>37</v>
      </c>
      <c r="C33" s="6"/>
    </row>
    <row r="34" customFormat="false" ht="27.75" hidden="false" customHeight="true" outlineLevel="0" collapsed="false">
      <c r="A34" s="5" t="s">
        <v>38</v>
      </c>
      <c r="B34" s="6" t="s">
        <v>39</v>
      </c>
      <c r="C34" s="6"/>
    </row>
    <row r="35" customFormat="false" ht="27.75" hidden="false" customHeight="true" outlineLevel="0" collapsed="false">
      <c r="A35" s="5" t="s">
        <v>40</v>
      </c>
      <c r="B35" s="6" t="s">
        <v>41</v>
      </c>
      <c r="C35" s="6"/>
    </row>
    <row r="36" customFormat="false" ht="27.75" hidden="false" customHeight="true" outlineLevel="0" collapsed="false">
      <c r="A36" s="5" t="s">
        <v>42</v>
      </c>
      <c r="B36" s="6" t="s">
        <v>43</v>
      </c>
      <c r="C36" s="6"/>
    </row>
    <row r="37" customFormat="false" ht="27.75" hidden="false" customHeight="true" outlineLevel="0" collapsed="false">
      <c r="A37" s="5" t="s">
        <v>44</v>
      </c>
      <c r="B37" s="6" t="s">
        <v>45</v>
      </c>
      <c r="C37" s="6"/>
    </row>
    <row r="38" customFormat="false" ht="27.75" hidden="false" customHeight="true" outlineLevel="0" collapsed="false">
      <c r="A38" s="5" t="s">
        <v>46</v>
      </c>
      <c r="B38" s="6" t="s">
        <v>47</v>
      </c>
      <c r="C38" s="6"/>
    </row>
    <row r="39" customFormat="false" ht="27.75" hidden="false" customHeight="true" outlineLevel="0" collapsed="false">
      <c r="A39" s="5" t="s">
        <v>48</v>
      </c>
      <c r="B39" s="6" t="s">
        <v>49</v>
      </c>
      <c r="C39" s="6"/>
    </row>
    <row r="40" customFormat="false" ht="27.75" hidden="false" customHeight="true" outlineLevel="0" collapsed="false">
      <c r="A40" s="5" t="s">
        <v>50</v>
      </c>
      <c r="B40" s="6" t="s">
        <v>51</v>
      </c>
      <c r="C40" s="6"/>
    </row>
  </sheetData>
  <mergeCells count="35">
    <mergeCell ref="A1:C1"/>
    <mergeCell ref="A2:C2"/>
    <mergeCell ref="A4:C4"/>
    <mergeCell ref="B5:C5"/>
    <mergeCell ref="B6:C6"/>
    <mergeCell ref="B7:C7"/>
    <mergeCell ref="B8:C8"/>
    <mergeCell ref="B9:C9"/>
    <mergeCell ref="B10:C10"/>
    <mergeCell ref="B11:C11"/>
    <mergeCell ref="A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A29:C29"/>
    <mergeCell ref="A30:C30"/>
    <mergeCell ref="B33:C33"/>
    <mergeCell ref="B34:C34"/>
    <mergeCell ref="B35:C35"/>
    <mergeCell ref="B36:C36"/>
    <mergeCell ref="B37:C37"/>
    <mergeCell ref="B38:C38"/>
    <mergeCell ref="B39:C39"/>
    <mergeCell ref="B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0"/>
    <col collapsed="false" customWidth="true" hidden="false" outlineLevel="0" max="3" min="3" style="1" width="14"/>
    <col collapsed="false" customWidth="true" hidden="false" outlineLevel="0" max="4" min="4" style="1" width="60"/>
    <col collapsed="false" customWidth="true" hidden="false" outlineLevel="0" max="5" min="5" style="1" width="34"/>
  </cols>
  <sheetData>
    <row r="1" customFormat="false" ht="27.75" hidden="false" customHeight="true" outlineLevel="0" collapsed="false">
      <c r="A1" s="2" t="s">
        <v>52</v>
      </c>
      <c r="B1" s="2"/>
      <c r="C1" s="2"/>
      <c r="D1" s="2"/>
      <c r="E1" s="2"/>
    </row>
    <row r="2" customFormat="false" ht="18" hidden="false" customHeight="true" outlineLevel="0" collapsed="false">
      <c r="A2" s="3" t="s">
        <v>53</v>
      </c>
      <c r="B2" s="3"/>
      <c r="C2" s="3"/>
      <c r="D2" s="3"/>
      <c r="E2" s="3"/>
    </row>
    <row r="4" customFormat="false" ht="15" hidden="false" customHeight="true" outlineLevel="0" collapsed="false">
      <c r="A4" s="7" t="s">
        <v>54</v>
      </c>
      <c r="B4" s="7" t="s">
        <v>55</v>
      </c>
      <c r="C4" s="7" t="s">
        <v>56</v>
      </c>
      <c r="D4" s="7" t="s">
        <v>57</v>
      </c>
      <c r="E4" s="7" t="s">
        <v>58</v>
      </c>
    </row>
    <row r="5" customFormat="false" ht="27.75" hidden="false" customHeight="true" outlineLevel="0" collapsed="false">
      <c r="A5" s="8" t="s">
        <v>59</v>
      </c>
      <c r="B5" s="15" t="s">
        <v>60</v>
      </c>
      <c r="C5" s="16" t="n">
        <v>1900</v>
      </c>
      <c r="D5" s="17" t="s">
        <v>61</v>
      </c>
      <c r="E5" s="18" t="s">
        <v>62</v>
      </c>
    </row>
    <row r="6" customFormat="false" ht="27.75" hidden="false" customHeight="true" outlineLevel="0" collapsed="false">
      <c r="A6" s="8" t="s">
        <v>63</v>
      </c>
      <c r="B6" s="15" t="s">
        <v>60</v>
      </c>
      <c r="C6" s="16" t="n">
        <v>6800</v>
      </c>
      <c r="D6" s="17" t="s">
        <v>64</v>
      </c>
      <c r="E6" s="18" t="s">
        <v>62</v>
      </c>
    </row>
    <row r="7" customFormat="false" ht="27.75" hidden="false" customHeight="true" outlineLevel="0" collapsed="false">
      <c r="A7" s="8" t="s">
        <v>65</v>
      </c>
      <c r="B7" s="15" t="s">
        <v>60</v>
      </c>
      <c r="C7" s="16" t="n">
        <v>4100</v>
      </c>
      <c r="D7" s="17" t="s">
        <v>66</v>
      </c>
      <c r="E7" s="18" t="s">
        <v>62</v>
      </c>
    </row>
    <row r="8" customFormat="false" ht="27.75" hidden="false" customHeight="true" outlineLevel="0" collapsed="false">
      <c r="A8" s="8" t="s">
        <v>67</v>
      </c>
      <c r="B8" s="15" t="s">
        <v>60</v>
      </c>
      <c r="C8" s="16" t="n">
        <v>24000</v>
      </c>
      <c r="D8" s="17" t="s">
        <v>68</v>
      </c>
      <c r="E8" s="18" t="s">
        <v>62</v>
      </c>
    </row>
    <row r="9" customFormat="false" ht="27.75" hidden="false" customHeight="true" outlineLevel="0" collapsed="false">
      <c r="A9" s="8" t="s">
        <v>69</v>
      </c>
      <c r="B9" s="15" t="s">
        <v>70</v>
      </c>
      <c r="C9" s="16" t="n">
        <v>3990</v>
      </c>
      <c r="D9" s="17" t="s">
        <v>71</v>
      </c>
      <c r="E9" s="18" t="s">
        <v>62</v>
      </c>
    </row>
    <row r="10" customFormat="false" ht="27.75" hidden="false" customHeight="true" outlineLevel="0" collapsed="false">
      <c r="A10" s="8" t="s">
        <v>72</v>
      </c>
      <c r="B10" s="15" t="s">
        <v>70</v>
      </c>
      <c r="C10" s="16" t="n">
        <v>4600</v>
      </c>
      <c r="D10" s="17" t="s">
        <v>73</v>
      </c>
      <c r="E10" s="18" t="s">
        <v>62</v>
      </c>
    </row>
    <row r="11" customFormat="false" ht="27.75" hidden="false" customHeight="true" outlineLevel="0" collapsed="false">
      <c r="A11" s="8" t="s">
        <v>74</v>
      </c>
      <c r="B11" s="15" t="s">
        <v>60</v>
      </c>
      <c r="C11" s="16" t="n">
        <v>14000</v>
      </c>
      <c r="D11" s="17" t="s">
        <v>75</v>
      </c>
      <c r="E11" s="18" t="s">
        <v>62</v>
      </c>
    </row>
    <row r="12" customFormat="false" ht="27.75" hidden="false" customHeight="true" outlineLevel="0" collapsed="false">
      <c r="A12" s="8" t="s">
        <v>76</v>
      </c>
      <c r="B12" s="15" t="s">
        <v>70</v>
      </c>
      <c r="C12" s="16" t="n">
        <v>31850</v>
      </c>
      <c r="D12" s="17" t="s">
        <v>77</v>
      </c>
      <c r="E12" s="18" t="s">
        <v>62</v>
      </c>
    </row>
    <row r="13" customFormat="false" ht="27.75" hidden="false" customHeight="true" outlineLevel="0" collapsed="false">
      <c r="A13" s="8" t="s">
        <v>78</v>
      </c>
      <c r="B13" s="15" t="s">
        <v>60</v>
      </c>
      <c r="C13" s="16" t="n">
        <v>95000</v>
      </c>
      <c r="D13" s="17" t="s">
        <v>79</v>
      </c>
      <c r="E13" s="18" t="s">
        <v>62</v>
      </c>
    </row>
    <row r="14" customFormat="false" ht="27.75" hidden="false" customHeight="true" outlineLevel="0" collapsed="false">
      <c r="A14" s="8" t="s">
        <v>80</v>
      </c>
      <c r="B14" s="15" t="s">
        <v>60</v>
      </c>
      <c r="C14" s="16" t="n">
        <v>4000</v>
      </c>
      <c r="D14" s="17" t="s">
        <v>81</v>
      </c>
      <c r="E14" s="18" t="s">
        <v>62</v>
      </c>
    </row>
    <row r="15" customFormat="false" ht="27.75" hidden="false" customHeight="true" outlineLevel="0" collapsed="false">
      <c r="A15" s="8" t="s">
        <v>82</v>
      </c>
      <c r="B15" s="15" t="s">
        <v>60</v>
      </c>
      <c r="C15" s="16" t="n">
        <v>42000</v>
      </c>
      <c r="D15" s="17" t="s">
        <v>83</v>
      </c>
      <c r="E15" s="18" t="s">
        <v>62</v>
      </c>
    </row>
    <row r="16" customFormat="false" ht="27.75" hidden="false" customHeight="true" outlineLevel="0" collapsed="false">
      <c r="A16" s="8" t="s">
        <v>84</v>
      </c>
      <c r="B16" s="15" t="s">
        <v>60</v>
      </c>
      <c r="C16" s="16" t="n">
        <v>44000</v>
      </c>
      <c r="D16" s="17" t="s">
        <v>85</v>
      </c>
      <c r="E16" s="18" t="s">
        <v>62</v>
      </c>
    </row>
    <row r="17" customFormat="false" ht="27.75" hidden="false" customHeight="true" outlineLevel="0" collapsed="false">
      <c r="A17" s="8" t="s">
        <v>86</v>
      </c>
      <c r="B17" s="15" t="s">
        <v>60</v>
      </c>
      <c r="C17" s="16" t="n">
        <v>22500</v>
      </c>
      <c r="D17" s="17" t="s">
        <v>87</v>
      </c>
      <c r="E17" s="18" t="s">
        <v>62</v>
      </c>
    </row>
    <row r="18" customFormat="false" ht="27.75" hidden="false" customHeight="true" outlineLevel="0" collapsed="false">
      <c r="A18" s="8" t="s">
        <v>88</v>
      </c>
      <c r="B18" s="15" t="s">
        <v>60</v>
      </c>
      <c r="C18" s="16" t="n">
        <v>2000</v>
      </c>
      <c r="D18" s="17" t="s">
        <v>89</v>
      </c>
      <c r="E18" s="18" t="s">
        <v>62</v>
      </c>
    </row>
    <row r="19" customFormat="false" ht="27.75" hidden="false" customHeight="true" outlineLevel="0" collapsed="false">
      <c r="A19" s="8" t="s">
        <v>90</v>
      </c>
      <c r="B19" s="15" t="s">
        <v>60</v>
      </c>
      <c r="C19" s="16" t="n">
        <v>2760</v>
      </c>
      <c r="D19" s="17" t="s">
        <v>91</v>
      </c>
      <c r="E19" s="18" t="s">
        <v>62</v>
      </c>
    </row>
    <row r="20" customFormat="false" ht="27.75" hidden="false" customHeight="true" outlineLevel="0" collapsed="false">
      <c r="A20" s="8" t="s">
        <v>92</v>
      </c>
      <c r="B20" s="15" t="s">
        <v>60</v>
      </c>
      <c r="C20" s="16" t="n">
        <v>5800</v>
      </c>
      <c r="D20" s="17" t="s">
        <v>93</v>
      </c>
      <c r="E20" s="18" t="s">
        <v>62</v>
      </c>
    </row>
    <row r="21" customFormat="false" ht="27.75" hidden="false" customHeight="true" outlineLevel="0" collapsed="false">
      <c r="A21" s="8" t="s">
        <v>94</v>
      </c>
      <c r="B21" s="15" t="s">
        <v>60</v>
      </c>
      <c r="C21" s="16" t="n">
        <v>28500</v>
      </c>
      <c r="D21" s="17" t="s">
        <v>95</v>
      </c>
      <c r="E21" s="18" t="s">
        <v>62</v>
      </c>
    </row>
    <row r="22" customFormat="false" ht="27.75" hidden="false" customHeight="true" outlineLevel="0" collapsed="false">
      <c r="A22" s="8" t="s">
        <v>96</v>
      </c>
      <c r="B22" s="15" t="s">
        <v>60</v>
      </c>
      <c r="C22" s="16" t="n">
        <v>21000</v>
      </c>
      <c r="D22" s="17" t="s">
        <v>97</v>
      </c>
      <c r="E22" s="18" t="s">
        <v>62</v>
      </c>
    </row>
    <row r="23" customFormat="false" ht="27.75" hidden="false" customHeight="true" outlineLevel="0" collapsed="false">
      <c r="A23" s="8" t="s">
        <v>98</v>
      </c>
      <c r="B23" s="15" t="s">
        <v>60</v>
      </c>
      <c r="C23" s="16" t="n">
        <v>11900</v>
      </c>
      <c r="D23" s="17" t="s">
        <v>99</v>
      </c>
      <c r="E23" s="18" t="s">
        <v>62</v>
      </c>
    </row>
    <row r="24" customFormat="false" ht="27.75" hidden="false" customHeight="true" outlineLevel="0" collapsed="false">
      <c r="A24" s="8" t="s">
        <v>100</v>
      </c>
      <c r="B24" s="15" t="s">
        <v>60</v>
      </c>
      <c r="C24" s="16" t="n">
        <v>9200</v>
      </c>
      <c r="D24" s="17" t="s">
        <v>101</v>
      </c>
      <c r="E24" s="18" t="s">
        <v>62</v>
      </c>
    </row>
    <row r="25" customFormat="false" ht="27.75" hidden="false" customHeight="true" outlineLevel="0" collapsed="false">
      <c r="A25" s="8" t="s">
        <v>102</v>
      </c>
      <c r="B25" s="15" t="s">
        <v>60</v>
      </c>
      <c r="C25" s="16" t="n">
        <v>10650</v>
      </c>
      <c r="D25" s="17" t="s">
        <v>103</v>
      </c>
      <c r="E25" s="18" t="s">
        <v>62</v>
      </c>
    </row>
    <row r="26" customFormat="false" ht="27.75" hidden="false" customHeight="true" outlineLevel="0" collapsed="false">
      <c r="A26" s="8" t="s">
        <v>104</v>
      </c>
      <c r="B26" s="15" t="s">
        <v>60</v>
      </c>
      <c r="C26" s="16" t="n">
        <v>38000</v>
      </c>
      <c r="D26" s="17" t="s">
        <v>105</v>
      </c>
      <c r="E26" s="18" t="s">
        <v>62</v>
      </c>
    </row>
    <row r="27" customFormat="false" ht="27.75" hidden="false" customHeight="true" outlineLevel="0" collapsed="false">
      <c r="A27" s="8" t="s">
        <v>106</v>
      </c>
      <c r="B27" s="15" t="s">
        <v>60</v>
      </c>
      <c r="C27" s="16" t="n">
        <v>39500</v>
      </c>
      <c r="D27" s="17" t="s">
        <v>107</v>
      </c>
      <c r="E27" s="18" t="s">
        <v>62</v>
      </c>
    </row>
    <row r="28" customFormat="false" ht="27.75" hidden="false" customHeight="true" outlineLevel="0" collapsed="false">
      <c r="A28" s="8" t="s">
        <v>108</v>
      </c>
      <c r="B28" s="15" t="s">
        <v>60</v>
      </c>
      <c r="C28" s="16" t="n">
        <v>20000</v>
      </c>
      <c r="D28" s="17" t="s">
        <v>109</v>
      </c>
      <c r="E28" s="18" t="s">
        <v>62</v>
      </c>
    </row>
    <row r="29" customFormat="false" ht="27.75" hidden="false" customHeight="true" outlineLevel="0" collapsed="false">
      <c r="A29" s="8" t="s">
        <v>110</v>
      </c>
      <c r="B29" s="15" t="s">
        <v>60</v>
      </c>
      <c r="C29" s="16" t="n">
        <v>14000</v>
      </c>
      <c r="D29" s="17" t="s">
        <v>111</v>
      </c>
      <c r="E29" s="18" t="s">
        <v>62</v>
      </c>
    </row>
    <row r="30" customFormat="false" ht="27.75" hidden="false" customHeight="true" outlineLevel="0" collapsed="false">
      <c r="A30" s="8" t="s">
        <v>112</v>
      </c>
      <c r="B30" s="15" t="s">
        <v>60</v>
      </c>
      <c r="C30" s="16" t="n">
        <v>4000</v>
      </c>
      <c r="D30" s="17" t="s">
        <v>113</v>
      </c>
      <c r="E30" s="18" t="s">
        <v>62</v>
      </c>
    </row>
    <row r="31" customFormat="false" ht="27.75" hidden="false" customHeight="true" outlineLevel="0" collapsed="false">
      <c r="A31" s="8" t="s">
        <v>114</v>
      </c>
      <c r="B31" s="15" t="s">
        <v>60</v>
      </c>
      <c r="C31" s="16" t="n">
        <v>95000</v>
      </c>
      <c r="D31" s="17" t="s">
        <v>115</v>
      </c>
      <c r="E31" s="18" t="s">
        <v>62</v>
      </c>
    </row>
    <row r="32" customFormat="false" ht="27.75" hidden="false" customHeight="true" outlineLevel="0" collapsed="false">
      <c r="A32" s="8" t="s">
        <v>116</v>
      </c>
      <c r="B32" s="15" t="s">
        <v>60</v>
      </c>
      <c r="C32" s="16" t="n">
        <v>11250</v>
      </c>
      <c r="D32" s="17" t="s">
        <v>117</v>
      </c>
      <c r="E32" s="18" t="s">
        <v>62</v>
      </c>
    </row>
    <row r="33" customFormat="false" ht="27.75" hidden="false" customHeight="true" outlineLevel="0" collapsed="false">
      <c r="A33" s="8" t="s">
        <v>118</v>
      </c>
      <c r="B33" s="15" t="s">
        <v>60</v>
      </c>
      <c r="C33" s="16" t="n">
        <v>44000</v>
      </c>
      <c r="D33" s="17" t="s">
        <v>119</v>
      </c>
      <c r="E33" s="18" t="s">
        <v>62</v>
      </c>
    </row>
    <row r="34" customFormat="false" ht="27.75" hidden="false" customHeight="true" outlineLevel="0" collapsed="false">
      <c r="A34" s="8" t="s">
        <v>120</v>
      </c>
      <c r="B34" s="15" t="s">
        <v>60</v>
      </c>
      <c r="C34" s="16" t="n">
        <v>48000</v>
      </c>
      <c r="D34" s="17" t="s">
        <v>121</v>
      </c>
      <c r="E34" s="18" t="s">
        <v>62</v>
      </c>
    </row>
    <row r="35" customFormat="false" ht="25.5" hidden="false" customHeight="true" outlineLevel="0" collapsed="false">
      <c r="A35" s="8" t="s">
        <v>122</v>
      </c>
      <c r="B35" s="15" t="s">
        <v>70</v>
      </c>
      <c r="C35" s="16" t="n">
        <v>0</v>
      </c>
      <c r="D35" s="17" t="s">
        <v>123</v>
      </c>
      <c r="E35" s="19"/>
    </row>
    <row r="37" customFormat="false" ht="15" hidden="false" customHeight="true" outlineLevel="0" collapsed="false">
      <c r="A37" s="14" t="s">
        <v>124</v>
      </c>
    </row>
    <row r="38" customFormat="false" ht="30" hidden="false" customHeight="true" outlineLevel="0" collapsed="false">
      <c r="A38" s="20" t="s">
        <v>125</v>
      </c>
      <c r="C38" s="21" t="n">
        <v>21000</v>
      </c>
      <c r="D38" s="22" t="s">
        <v>126</v>
      </c>
      <c r="E38" s="23" t="s">
        <v>62</v>
      </c>
    </row>
    <row r="39" customFormat="false" ht="15" hidden="false" customHeight="true" outlineLevel="0" collapsed="false">
      <c r="A39" s="20" t="s">
        <v>127</v>
      </c>
      <c r="C39" s="24" t="n">
        <f aca="false">C38/10</f>
        <v>2100</v>
      </c>
    </row>
    <row r="41" customFormat="false" ht="90" hidden="false" customHeight="true" outlineLevel="0" collapsed="false">
      <c r="A41" s="25" t="s">
        <v>128</v>
      </c>
      <c r="B41" s="25"/>
      <c r="C41" s="25"/>
      <c r="D41" s="25"/>
      <c r="E41" s="25"/>
    </row>
  </sheetData>
  <mergeCells count="3">
    <mergeCell ref="A1:E1"/>
    <mergeCell ref="A2:E2"/>
    <mergeCell ref="A41:E41"/>
  </mergeCells>
  <hyperlinks>
    <hyperlink ref="E5" r:id="rId1" display="Ver producto"/>
    <hyperlink ref="E6" r:id="rId2" display="Ver producto"/>
    <hyperlink ref="E7" r:id="rId3" display="Ver producto"/>
    <hyperlink ref="E8" r:id="rId4" display="Ver producto"/>
    <hyperlink ref="E9" r:id="rId5" display="Ver producto"/>
    <hyperlink ref="E10" r:id="rId6" display="Ver producto"/>
    <hyperlink ref="E11" r:id="rId7" display="Ver producto"/>
    <hyperlink ref="E12" r:id="rId8" display="Ver producto"/>
    <hyperlink ref="E13" r:id="rId9" display="Ver producto"/>
    <hyperlink ref="E14" r:id="rId10" display="Ver producto"/>
    <hyperlink ref="E15" r:id="rId11" display="Ver producto"/>
    <hyperlink ref="E16" r:id="rId12" display="Ver producto"/>
    <hyperlink ref="E17" r:id="rId13" display="Ver producto"/>
    <hyperlink ref="E18" r:id="rId14" display="Ver producto"/>
    <hyperlink ref="E19" r:id="rId15" display="Ver producto"/>
    <hyperlink ref="E20" r:id="rId16" display="Ver producto"/>
    <hyperlink ref="E21" r:id="rId17" display="Ver producto"/>
    <hyperlink ref="E22" r:id="rId18" display="Ver producto"/>
    <hyperlink ref="E23" r:id="rId19" display="Ver producto"/>
    <hyperlink ref="E24" r:id="rId20" display="Ver producto"/>
    <hyperlink ref="E25" r:id="rId21" display="Ver producto"/>
    <hyperlink ref="E26" r:id="rId22" display="Ver producto"/>
    <hyperlink ref="E27" r:id="rId23" display="Ver producto"/>
    <hyperlink ref="E28" r:id="rId24" display="Ver producto"/>
    <hyperlink ref="E29" r:id="rId25" display="Ver producto"/>
    <hyperlink ref="E30" r:id="rId26" display="Ver producto"/>
    <hyperlink ref="E31" r:id="rId27" display="Ver producto"/>
    <hyperlink ref="E32" r:id="rId28" display="Ver producto"/>
    <hyperlink ref="E33" r:id="rId29" display="Ver producto"/>
    <hyperlink ref="E34" r:id="rId30" display="Ver producto"/>
    <hyperlink ref="E38" r:id="rId31" display="Ver product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3" min="2" style="1" width="16"/>
    <col collapsed="false" customWidth="true" hidden="false" outlineLevel="0" max="4" min="4" style="1" width="20"/>
    <col collapsed="false" customWidth="true" hidden="false" outlineLevel="0" max="5" min="5" style="1" width="16"/>
  </cols>
  <sheetData>
    <row r="1" customFormat="false" ht="27.75" hidden="false" customHeight="true" outlineLevel="0" collapsed="false">
      <c r="A1" s="2" t="s">
        <v>129</v>
      </c>
      <c r="B1" s="2"/>
      <c r="C1" s="2"/>
      <c r="D1" s="2"/>
      <c r="E1" s="2"/>
    </row>
    <row r="2" customFormat="false" ht="18" hidden="false" customHeight="true" outlineLevel="0" collapsed="false">
      <c r="A2" s="3" t="s">
        <v>130</v>
      </c>
      <c r="B2" s="3"/>
      <c r="C2" s="3"/>
      <c r="D2" s="3"/>
      <c r="E2" s="3"/>
    </row>
    <row r="4" customFormat="false" ht="19.5" hidden="false" customHeight="true" outlineLevel="0" collapsed="false">
      <c r="A4" s="26" t="s">
        <v>131</v>
      </c>
      <c r="B4" s="26"/>
      <c r="C4" s="26"/>
      <c r="D4" s="26"/>
      <c r="E4" s="26"/>
    </row>
    <row r="5" customFormat="false" ht="23.25" hidden="false" customHeight="true" outlineLevel="0" collapsed="false">
      <c r="A5" s="7" t="s">
        <v>54</v>
      </c>
      <c r="B5" s="7" t="s">
        <v>132</v>
      </c>
      <c r="C5" s="7" t="s">
        <v>133</v>
      </c>
      <c r="D5" s="7" t="s">
        <v>134</v>
      </c>
      <c r="E5" s="7" t="s">
        <v>135</v>
      </c>
    </row>
    <row r="6" customFormat="false" ht="15" hidden="false" customHeight="true" outlineLevel="0" collapsed="false">
      <c r="A6" s="8" t="s">
        <v>136</v>
      </c>
      <c r="B6" s="27" t="n">
        <v>120</v>
      </c>
      <c r="C6" s="28" t="n">
        <f aca="false">B6/10</f>
        <v>12</v>
      </c>
      <c r="D6" s="29" t="n">
        <f aca="false">'Precios de Ingredientes'!C5</f>
        <v>1900</v>
      </c>
      <c r="E6" s="30" t="n">
        <f aca="false">(C6/1000)*D6</f>
        <v>22.8</v>
      </c>
    </row>
    <row r="7" customFormat="false" ht="15" hidden="false" customHeight="true" outlineLevel="0" collapsed="false">
      <c r="A7" s="8" t="s">
        <v>137</v>
      </c>
      <c r="B7" s="27" t="n">
        <v>70</v>
      </c>
      <c r="C7" s="28" t="n">
        <f aca="false">B7/10</f>
        <v>7</v>
      </c>
      <c r="D7" s="29" t="n">
        <f aca="false">'Precios de Ingredientes'!C5</f>
        <v>1900</v>
      </c>
      <c r="E7" s="30" t="n">
        <f aca="false">(C7/1000)*D7</f>
        <v>13.3</v>
      </c>
    </row>
    <row r="8" customFormat="false" ht="15" hidden="false" customHeight="true" outlineLevel="0" collapsed="false">
      <c r="A8" s="8" t="s">
        <v>138</v>
      </c>
      <c r="B8" s="27" t="n">
        <v>50</v>
      </c>
      <c r="C8" s="28" t="n">
        <f aca="false">B8/10</f>
        <v>5</v>
      </c>
      <c r="D8" s="29" t="n">
        <f aca="false">'Precios de Ingredientes'!C7</f>
        <v>4100</v>
      </c>
      <c r="E8" s="30" t="n">
        <f aca="false">(C8/1000)*D8</f>
        <v>20.5</v>
      </c>
    </row>
    <row r="9" customFormat="false" ht="15" hidden="false" customHeight="true" outlineLevel="0" collapsed="false">
      <c r="A9" s="8" t="s">
        <v>139</v>
      </c>
      <c r="B9" s="27" t="n">
        <v>120</v>
      </c>
      <c r="C9" s="28" t="n">
        <f aca="false">B9/10</f>
        <v>12</v>
      </c>
      <c r="D9" s="29" t="n">
        <f aca="false">'Precios de Ingredientes'!C8</f>
        <v>24000</v>
      </c>
      <c r="E9" s="30" t="n">
        <f aca="false">(C9/1000)*D9</f>
        <v>288</v>
      </c>
    </row>
    <row r="10" customFormat="false" ht="15" hidden="false" customHeight="true" outlineLevel="0" collapsed="false">
      <c r="A10" s="8" t="s">
        <v>63</v>
      </c>
      <c r="B10" s="27" t="n">
        <v>30</v>
      </c>
      <c r="C10" s="28" t="n">
        <f aca="false">B10/10</f>
        <v>3</v>
      </c>
      <c r="D10" s="29" t="n">
        <f aca="false">'Precios de Ingredientes'!C6</f>
        <v>6800</v>
      </c>
      <c r="E10" s="30" t="n">
        <f aca="false">(C10/1000)*D10</f>
        <v>20.4</v>
      </c>
    </row>
    <row r="11" customFormat="false" ht="15" hidden="false" customHeight="true" outlineLevel="0" collapsed="false">
      <c r="A11" s="8" t="s">
        <v>69</v>
      </c>
      <c r="B11" s="27" t="n">
        <v>85</v>
      </c>
      <c r="C11" s="28" t="n">
        <f aca="false">B11/10</f>
        <v>8.5</v>
      </c>
      <c r="D11" s="29" t="n">
        <f aca="false">'Precios de Ingredientes'!C9</f>
        <v>3990</v>
      </c>
      <c r="E11" s="30" t="n">
        <f aca="false">(C11/1000)*D11</f>
        <v>33.915</v>
      </c>
    </row>
    <row r="12" customFormat="false" ht="15" hidden="false" customHeight="true" outlineLevel="0" collapsed="false">
      <c r="A12" s="8" t="s">
        <v>72</v>
      </c>
      <c r="B12" s="27" t="n">
        <v>8</v>
      </c>
      <c r="C12" s="28" t="n">
        <f aca="false">B12/10</f>
        <v>0.8</v>
      </c>
      <c r="D12" s="29" t="n">
        <f aca="false">'Precios de Ingredientes'!C10</f>
        <v>4600</v>
      </c>
      <c r="E12" s="30" t="n">
        <f aca="false">(C12/1000)*D12</f>
        <v>3.68</v>
      </c>
    </row>
    <row r="13" customFormat="false" ht="15" hidden="false" customHeight="true" outlineLevel="0" collapsed="false">
      <c r="A13" s="8" t="s">
        <v>140</v>
      </c>
      <c r="B13" s="27" t="n">
        <v>2</v>
      </c>
      <c r="C13" s="28" t="n">
        <f aca="false">B13/10</f>
        <v>0.2</v>
      </c>
      <c r="D13" s="29" t="n">
        <f aca="false">'Precios de Ingredientes'!C11</f>
        <v>14000</v>
      </c>
      <c r="E13" s="30" t="n">
        <f aca="false">(C13/1000)*D13</f>
        <v>2.8</v>
      </c>
    </row>
    <row r="14" customFormat="false" ht="15" hidden="false" customHeight="true" outlineLevel="0" collapsed="false">
      <c r="A14" s="8" t="s">
        <v>141</v>
      </c>
      <c r="B14" s="27" t="n">
        <v>2</v>
      </c>
      <c r="C14" s="28" t="n">
        <f aca="false">B14/10</f>
        <v>0.2</v>
      </c>
      <c r="D14" s="29" t="n">
        <f aca="false">'Precios de Ingredientes'!C12</f>
        <v>31850</v>
      </c>
      <c r="E14" s="30" t="n">
        <f aca="false">(C14/1000)*D14</f>
        <v>6.37</v>
      </c>
    </row>
    <row r="15" customFormat="false" ht="15" hidden="false" customHeight="true" outlineLevel="0" collapsed="false">
      <c r="A15" s="8" t="s">
        <v>78</v>
      </c>
      <c r="B15" s="27" t="n">
        <v>1.5</v>
      </c>
      <c r="C15" s="28" t="n">
        <f aca="false">B15/10</f>
        <v>0.15</v>
      </c>
      <c r="D15" s="29" t="n">
        <f aca="false">'Precios de Ingredientes'!C13</f>
        <v>95000</v>
      </c>
      <c r="E15" s="30" t="n">
        <f aca="false">(C15/1000)*D15</f>
        <v>14.25</v>
      </c>
    </row>
    <row r="16" customFormat="false" ht="15" hidden="false" customHeight="true" outlineLevel="0" collapsed="false">
      <c r="A16" s="8" t="s">
        <v>142</v>
      </c>
      <c r="B16" s="27" t="n">
        <v>0.6</v>
      </c>
      <c r="C16" s="28" t="n">
        <f aca="false">B16/10</f>
        <v>0.06</v>
      </c>
      <c r="D16" s="29" t="n">
        <f aca="false">'Precios de Ingredientes'!C14</f>
        <v>4000</v>
      </c>
      <c r="E16" s="30" t="n">
        <f aca="false">(C16/1000)*D16</f>
        <v>0.24</v>
      </c>
    </row>
    <row r="17" customFormat="false" ht="15" hidden="false" customHeight="true" outlineLevel="0" collapsed="false">
      <c r="A17" s="31" t="s">
        <v>143</v>
      </c>
      <c r="B17" s="32"/>
      <c r="C17" s="32"/>
      <c r="D17" s="32"/>
      <c r="E17" s="33" t="n">
        <f aca="false">SUM(E6:E16)</f>
        <v>426.255</v>
      </c>
    </row>
    <row r="19" customFormat="false" ht="19.5" hidden="false" customHeight="true" outlineLevel="0" collapsed="false">
      <c r="A19" s="34" t="s">
        <v>144</v>
      </c>
      <c r="B19" s="34"/>
      <c r="C19" s="34"/>
      <c r="D19" s="34"/>
      <c r="E19" s="34"/>
    </row>
    <row r="20" customFormat="false" ht="23.25" hidden="false" customHeight="true" outlineLevel="0" collapsed="false">
      <c r="A20" s="7" t="s">
        <v>54</v>
      </c>
      <c r="B20" s="7" t="s">
        <v>132</v>
      </c>
      <c r="C20" s="7" t="s">
        <v>133</v>
      </c>
      <c r="D20" s="7" t="s">
        <v>134</v>
      </c>
      <c r="E20" s="7" t="s">
        <v>135</v>
      </c>
    </row>
    <row r="21" customFormat="false" ht="15" hidden="false" customHeight="true" outlineLevel="0" collapsed="false">
      <c r="A21" s="8" t="s">
        <v>145</v>
      </c>
      <c r="B21" s="27" t="n">
        <v>85</v>
      </c>
      <c r="C21" s="28" t="n">
        <f aca="false">B21/10</f>
        <v>8.5</v>
      </c>
      <c r="D21" s="29" t="n">
        <f aca="false">'Precios de Ingredientes'!C15</f>
        <v>42000</v>
      </c>
      <c r="E21" s="30" t="n">
        <f aca="false">(C21/1000)*D21</f>
        <v>357</v>
      </c>
    </row>
    <row r="22" customFormat="false" ht="15" hidden="false" customHeight="true" outlineLevel="0" collapsed="false">
      <c r="A22" s="8" t="s">
        <v>146</v>
      </c>
      <c r="B22" s="27" t="n">
        <v>45</v>
      </c>
      <c r="C22" s="28" t="n">
        <f aca="false">B22/10</f>
        <v>4.5</v>
      </c>
      <c r="D22" s="29" t="n">
        <f aca="false">'Precios de Ingredientes'!C16</f>
        <v>44000</v>
      </c>
      <c r="E22" s="30" t="n">
        <f aca="false">(C22/1000)*D22</f>
        <v>198</v>
      </c>
    </row>
    <row r="23" customFormat="false" ht="15" hidden="false" customHeight="true" outlineLevel="0" collapsed="false">
      <c r="A23" s="8" t="s">
        <v>86</v>
      </c>
      <c r="B23" s="27" t="n">
        <v>35</v>
      </c>
      <c r="C23" s="28" t="n">
        <f aca="false">B23/10</f>
        <v>3.5</v>
      </c>
      <c r="D23" s="29" t="n">
        <f aca="false">'Precios de Ingredientes'!C17</f>
        <v>22500</v>
      </c>
      <c r="E23" s="30" t="n">
        <f aca="false">(C23/1000)*D23</f>
        <v>78.75</v>
      </c>
    </row>
    <row r="24" customFormat="false" ht="15" hidden="false" customHeight="true" outlineLevel="0" collapsed="false">
      <c r="A24" s="8" t="s">
        <v>88</v>
      </c>
      <c r="B24" s="27" t="n">
        <v>120</v>
      </c>
      <c r="C24" s="28" t="n">
        <f aca="false">B24/10</f>
        <v>12</v>
      </c>
      <c r="D24" s="29" t="n">
        <f aca="false">'Precios de Ingredientes'!C18</f>
        <v>2000</v>
      </c>
      <c r="E24" s="30" t="n">
        <f aca="false">(C24/1000)*D24</f>
        <v>24</v>
      </c>
    </row>
    <row r="25" customFormat="false" ht="15" hidden="false" customHeight="true" outlineLevel="0" collapsed="false">
      <c r="A25" s="8" t="s">
        <v>90</v>
      </c>
      <c r="B25" s="27" t="n">
        <v>60</v>
      </c>
      <c r="C25" s="28" t="n">
        <f aca="false">B25/10</f>
        <v>6</v>
      </c>
      <c r="D25" s="29" t="n">
        <f aca="false">'Precios de Ingredientes'!C19</f>
        <v>2760</v>
      </c>
      <c r="E25" s="30" t="n">
        <f aca="false">(C25/1000)*D25</f>
        <v>16.56</v>
      </c>
    </row>
    <row r="26" customFormat="false" ht="15" hidden="false" customHeight="true" outlineLevel="0" collapsed="false">
      <c r="A26" s="8" t="s">
        <v>147</v>
      </c>
      <c r="B26" s="27" t="n">
        <v>35</v>
      </c>
      <c r="C26" s="28" t="n">
        <f aca="false">B26/10</f>
        <v>3.5</v>
      </c>
      <c r="D26" s="29" t="n">
        <f aca="false">'Precios de Ingredientes'!C20</f>
        <v>5800</v>
      </c>
      <c r="E26" s="30" t="n">
        <f aca="false">(C26/1000)*D26</f>
        <v>20.3</v>
      </c>
    </row>
    <row r="27" customFormat="false" ht="15" hidden="false" customHeight="true" outlineLevel="0" collapsed="false">
      <c r="A27" s="8" t="s">
        <v>94</v>
      </c>
      <c r="B27" s="27" t="n">
        <v>20</v>
      </c>
      <c r="C27" s="28" t="n">
        <f aca="false">B27/10</f>
        <v>2</v>
      </c>
      <c r="D27" s="29" t="n">
        <f aca="false">'Precios de Ingredientes'!C21</f>
        <v>28500</v>
      </c>
      <c r="E27" s="30" t="n">
        <f aca="false">(C27/1000)*D27</f>
        <v>57</v>
      </c>
    </row>
    <row r="28" customFormat="false" ht="15" hidden="false" customHeight="true" outlineLevel="0" collapsed="false">
      <c r="A28" s="8" t="s">
        <v>96</v>
      </c>
      <c r="B28" s="27" t="n">
        <v>20</v>
      </c>
      <c r="C28" s="28" t="n">
        <f aca="false">B28/10</f>
        <v>2</v>
      </c>
      <c r="D28" s="29" t="n">
        <f aca="false">'Precios de Ingredientes'!C22</f>
        <v>21000</v>
      </c>
      <c r="E28" s="30" t="n">
        <f aca="false">(C28/1000)*D28</f>
        <v>42</v>
      </c>
    </row>
    <row r="29" customFormat="false" ht="15" hidden="false" customHeight="true" outlineLevel="0" collapsed="false">
      <c r="A29" s="8" t="s">
        <v>63</v>
      </c>
      <c r="B29" s="27" t="n">
        <v>25</v>
      </c>
      <c r="C29" s="28" t="n">
        <f aca="false">B29/10</f>
        <v>2.5</v>
      </c>
      <c r="D29" s="29" t="n">
        <f aca="false">'Precios de Ingredientes'!C6</f>
        <v>6800</v>
      </c>
      <c r="E29" s="30" t="n">
        <f aca="false">(C29/1000)*D29</f>
        <v>17</v>
      </c>
    </row>
    <row r="30" customFormat="false" ht="15" hidden="false" customHeight="true" outlineLevel="0" collapsed="false">
      <c r="A30" s="8" t="s">
        <v>69</v>
      </c>
      <c r="B30" s="27" t="n">
        <v>50</v>
      </c>
      <c r="C30" s="28" t="n">
        <f aca="false">B30/10</f>
        <v>5</v>
      </c>
      <c r="D30" s="29" t="n">
        <f aca="false">'Precios de Ingredientes'!C9</f>
        <v>3990</v>
      </c>
      <c r="E30" s="30" t="n">
        <f aca="false">(C30/1000)*D30</f>
        <v>19.95</v>
      </c>
    </row>
    <row r="31" customFormat="false" ht="15" hidden="false" customHeight="true" outlineLevel="0" collapsed="false">
      <c r="A31" s="8" t="s">
        <v>98</v>
      </c>
      <c r="B31" s="27" t="n">
        <v>20</v>
      </c>
      <c r="C31" s="28" t="n">
        <f aca="false">B31/10</f>
        <v>2</v>
      </c>
      <c r="D31" s="29" t="n">
        <f aca="false">'Precios de Ingredientes'!C23</f>
        <v>11900</v>
      </c>
      <c r="E31" s="30" t="n">
        <f aca="false">(C31/1000)*D31</f>
        <v>23.8</v>
      </c>
    </row>
    <row r="32" customFormat="false" ht="15" hidden="false" customHeight="true" outlineLevel="0" collapsed="false">
      <c r="A32" s="8" t="s">
        <v>148</v>
      </c>
      <c r="B32" s="27" t="n">
        <v>2</v>
      </c>
      <c r="C32" s="28" t="n">
        <f aca="false">B32/10</f>
        <v>0.2</v>
      </c>
      <c r="D32" s="29" t="n">
        <f aca="false">'Precios de Ingredientes'!C12</f>
        <v>31850</v>
      </c>
      <c r="E32" s="30" t="n">
        <f aca="false">(C32/1000)*D32</f>
        <v>6.37</v>
      </c>
    </row>
    <row r="33" customFormat="false" ht="15" hidden="false" customHeight="true" outlineLevel="0" collapsed="false">
      <c r="A33" s="8" t="s">
        <v>142</v>
      </c>
      <c r="B33" s="27" t="n">
        <v>0.8</v>
      </c>
      <c r="C33" s="28" t="n">
        <f aca="false">B33/10</f>
        <v>0.08</v>
      </c>
      <c r="D33" s="29" t="n">
        <f aca="false">'Precios de Ingredientes'!C14</f>
        <v>4000</v>
      </c>
      <c r="E33" s="30" t="n">
        <f aca="false">(C33/1000)*D33</f>
        <v>0.32</v>
      </c>
    </row>
    <row r="34" customFormat="false" ht="15" hidden="false" customHeight="true" outlineLevel="0" collapsed="false">
      <c r="A34" s="8" t="s">
        <v>149</v>
      </c>
      <c r="B34" s="27" t="n">
        <v>15</v>
      </c>
      <c r="C34" s="28" t="n">
        <f aca="false">B34/10</f>
        <v>1.5</v>
      </c>
      <c r="D34" s="29" t="n">
        <f aca="false">'Precios de Ingredientes'!C35</f>
        <v>0</v>
      </c>
      <c r="E34" s="30" t="n">
        <f aca="false">(C34/1000)*D34</f>
        <v>0</v>
      </c>
    </row>
    <row r="35" customFormat="false" ht="15" hidden="false" customHeight="true" outlineLevel="0" collapsed="false">
      <c r="A35" s="31" t="s">
        <v>150</v>
      </c>
      <c r="B35" s="32"/>
      <c r="C35" s="32"/>
      <c r="D35" s="32"/>
      <c r="E35" s="33" t="n">
        <f aca="false">SUM(E21:E34)</f>
        <v>861.05</v>
      </c>
    </row>
    <row r="37" customFormat="false" ht="19.5" hidden="false" customHeight="true" outlineLevel="0" collapsed="false">
      <c r="A37" s="35" t="s">
        <v>151</v>
      </c>
      <c r="B37" s="35"/>
      <c r="C37" s="35"/>
      <c r="D37" s="35"/>
      <c r="E37" s="35"/>
    </row>
    <row r="38" customFormat="false" ht="23.25" hidden="false" customHeight="true" outlineLevel="0" collapsed="false">
      <c r="A38" s="7" t="s">
        <v>54</v>
      </c>
      <c r="B38" s="7" t="s">
        <v>132</v>
      </c>
      <c r="C38" s="7" t="s">
        <v>133</v>
      </c>
      <c r="D38" s="7" t="s">
        <v>134</v>
      </c>
      <c r="E38" s="7" t="s">
        <v>135</v>
      </c>
    </row>
    <row r="39" customFormat="false" ht="15" hidden="false" customHeight="true" outlineLevel="0" collapsed="false">
      <c r="A39" s="8" t="s">
        <v>152</v>
      </c>
      <c r="B39" s="27" t="n">
        <v>165</v>
      </c>
      <c r="C39" s="28" t="n">
        <f aca="false">B39/10</f>
        <v>16.5</v>
      </c>
      <c r="D39" s="29" t="n">
        <f aca="false">'Precios de Ingredientes'!C24</f>
        <v>9200</v>
      </c>
      <c r="E39" s="30" t="n">
        <f aca="false">(C39/1000)*D39</f>
        <v>151.8</v>
      </c>
    </row>
    <row r="40" customFormat="false" ht="15" hidden="false" customHeight="true" outlineLevel="0" collapsed="false">
      <c r="A40" s="8" t="s">
        <v>136</v>
      </c>
      <c r="B40" s="27" t="n">
        <v>85</v>
      </c>
      <c r="C40" s="28" t="n">
        <f aca="false">B40/10</f>
        <v>8.5</v>
      </c>
      <c r="D40" s="29" t="n">
        <f aca="false">'Precios de Ingredientes'!C5</f>
        <v>1900</v>
      </c>
      <c r="E40" s="30" t="n">
        <f aca="false">(C40/1000)*D40</f>
        <v>16.15</v>
      </c>
    </row>
    <row r="41" customFormat="false" ht="15" hidden="false" customHeight="true" outlineLevel="0" collapsed="false">
      <c r="A41" s="8" t="s">
        <v>153</v>
      </c>
      <c r="B41" s="27" t="n">
        <v>75</v>
      </c>
      <c r="C41" s="28" t="n">
        <f aca="false">B41/10</f>
        <v>7.5</v>
      </c>
      <c r="D41" s="29" t="n">
        <f aca="false">'Precios de Ingredientes'!C25</f>
        <v>10650</v>
      </c>
      <c r="E41" s="30" t="n">
        <f aca="false">(C41/1000)*D41</f>
        <v>79.875</v>
      </c>
    </row>
    <row r="42" customFormat="false" ht="15" hidden="false" customHeight="true" outlineLevel="0" collapsed="false">
      <c r="A42" s="8" t="s">
        <v>154</v>
      </c>
      <c r="B42" s="27" t="n">
        <v>45</v>
      </c>
      <c r="C42" s="28" t="n">
        <f aca="false">B42/10</f>
        <v>4.5</v>
      </c>
      <c r="D42" s="29" t="n">
        <f aca="false">'Precios de Ingredientes'!C26</f>
        <v>38000</v>
      </c>
      <c r="E42" s="30" t="n">
        <f aca="false">(C42/1000)*D42</f>
        <v>171</v>
      </c>
    </row>
    <row r="43" customFormat="false" ht="15" hidden="false" customHeight="true" outlineLevel="0" collapsed="false">
      <c r="A43" s="8" t="s">
        <v>106</v>
      </c>
      <c r="B43" s="27" t="n">
        <v>35</v>
      </c>
      <c r="C43" s="28" t="n">
        <f aca="false">B43/10</f>
        <v>3.5</v>
      </c>
      <c r="D43" s="29" t="n">
        <f aca="false">'Precios de Ingredientes'!C27</f>
        <v>39500</v>
      </c>
      <c r="E43" s="30" t="n">
        <f aca="false">(C43/1000)*D43</f>
        <v>138.25</v>
      </c>
    </row>
    <row r="44" customFormat="false" ht="15" hidden="false" customHeight="true" outlineLevel="0" collapsed="false">
      <c r="A44" s="8" t="s">
        <v>155</v>
      </c>
      <c r="B44" s="27" t="n">
        <v>4.7</v>
      </c>
      <c r="C44" s="28" t="n">
        <f aca="false">B44/10</f>
        <v>0.47</v>
      </c>
      <c r="D44" s="29" t="n">
        <f aca="false">'Precios de Ingredientes'!C28</f>
        <v>20000</v>
      </c>
      <c r="E44" s="30" t="n">
        <f aca="false">(C44/1000)*D44</f>
        <v>9.4</v>
      </c>
    </row>
    <row r="45" customFormat="false" ht="15" hidden="false" customHeight="true" outlineLevel="0" collapsed="false">
      <c r="A45" s="8" t="s">
        <v>110</v>
      </c>
      <c r="B45" s="27" t="n">
        <v>2.5</v>
      </c>
      <c r="C45" s="28" t="n">
        <f aca="false">B45/10</f>
        <v>0.25</v>
      </c>
      <c r="D45" s="29" t="n">
        <f aca="false">'Precios de Ingredientes'!C29</f>
        <v>14000</v>
      </c>
      <c r="E45" s="30" t="n">
        <f aca="false">(C45/1000)*D45</f>
        <v>3.5</v>
      </c>
    </row>
    <row r="46" customFormat="false" ht="15" hidden="false" customHeight="true" outlineLevel="0" collapsed="false">
      <c r="A46" s="8" t="s">
        <v>112</v>
      </c>
      <c r="B46" s="27" t="n">
        <v>2</v>
      </c>
      <c r="C46" s="28" t="n">
        <f aca="false">B46/10</f>
        <v>0.2</v>
      </c>
      <c r="D46" s="29" t="n">
        <f aca="false">'Precios de Ingredientes'!C30</f>
        <v>4000</v>
      </c>
      <c r="E46" s="30" t="n">
        <f aca="false">(C46/1000)*D46</f>
        <v>0.8</v>
      </c>
    </row>
    <row r="47" customFormat="false" ht="15" hidden="false" customHeight="true" outlineLevel="0" collapsed="false">
      <c r="A47" s="8" t="s">
        <v>156</v>
      </c>
      <c r="B47" s="27" t="n">
        <v>3</v>
      </c>
      <c r="C47" s="28" t="n">
        <f aca="false">B47/10</f>
        <v>0.3</v>
      </c>
      <c r="D47" s="29" t="n">
        <f aca="false">'Precios de Ingredientes'!C12</f>
        <v>31850</v>
      </c>
      <c r="E47" s="30" t="n">
        <f aca="false">(C47/1000)*D47</f>
        <v>9.555</v>
      </c>
    </row>
    <row r="48" customFormat="false" ht="15" hidden="false" customHeight="true" outlineLevel="0" collapsed="false">
      <c r="A48" s="8" t="s">
        <v>157</v>
      </c>
      <c r="B48" s="27" t="n">
        <v>2</v>
      </c>
      <c r="C48" s="28" t="n">
        <f aca="false">B48/10</f>
        <v>0.2</v>
      </c>
      <c r="D48" s="29" t="n">
        <f aca="false">'Precios de Ingredientes'!C31</f>
        <v>95000</v>
      </c>
      <c r="E48" s="30" t="n">
        <f aca="false">(C48/1000)*D48</f>
        <v>19</v>
      </c>
    </row>
    <row r="49" customFormat="false" ht="15" hidden="false" customHeight="true" outlineLevel="0" collapsed="false">
      <c r="A49" s="8" t="s">
        <v>149</v>
      </c>
      <c r="B49" s="27" t="n">
        <v>30</v>
      </c>
      <c r="C49" s="28" t="n">
        <f aca="false">B49/10</f>
        <v>3</v>
      </c>
      <c r="D49" s="29" t="n">
        <f aca="false">'Precios de Ingredientes'!C35</f>
        <v>0</v>
      </c>
      <c r="E49" s="30" t="n">
        <f aca="false">(C49/1000)*D49</f>
        <v>0</v>
      </c>
    </row>
    <row r="50" customFormat="false" ht="15" hidden="false" customHeight="true" outlineLevel="0" collapsed="false">
      <c r="A50" s="31" t="s">
        <v>158</v>
      </c>
      <c r="B50" s="32"/>
      <c r="C50" s="32"/>
      <c r="D50" s="32"/>
      <c r="E50" s="33" t="n">
        <f aca="false">SUM(E39:E49)</f>
        <v>599.33</v>
      </c>
    </row>
    <row r="52" customFormat="false" ht="19.5" hidden="false" customHeight="true" outlineLevel="0" collapsed="false">
      <c r="A52" s="36" t="s">
        <v>159</v>
      </c>
      <c r="B52" s="36"/>
      <c r="C52" s="36"/>
      <c r="D52" s="36"/>
      <c r="E52" s="36"/>
    </row>
    <row r="53" customFormat="false" ht="23.25" hidden="false" customHeight="true" outlineLevel="0" collapsed="false">
      <c r="A53" s="7" t="s">
        <v>54</v>
      </c>
      <c r="B53" s="7" t="s">
        <v>132</v>
      </c>
      <c r="C53" s="7" t="s">
        <v>133</v>
      </c>
      <c r="D53" s="7" t="s">
        <v>134</v>
      </c>
      <c r="E53" s="7" t="s">
        <v>135</v>
      </c>
    </row>
    <row r="54" customFormat="false" ht="15" hidden="false" customHeight="true" outlineLevel="0" collapsed="false">
      <c r="A54" s="8" t="s">
        <v>160</v>
      </c>
      <c r="B54" s="27" t="n">
        <v>90</v>
      </c>
      <c r="C54" s="28" t="n">
        <f aca="false">B54/10</f>
        <v>9</v>
      </c>
      <c r="D54" s="29" t="n">
        <f aca="false">'Precios de Ingredientes'!C24</f>
        <v>9200</v>
      </c>
      <c r="E54" s="30" t="n">
        <f aca="false">(C54/1000)*D54</f>
        <v>82.8</v>
      </c>
    </row>
    <row r="55" customFormat="false" ht="15" hidden="false" customHeight="true" outlineLevel="0" collapsed="false">
      <c r="A55" s="8" t="s">
        <v>88</v>
      </c>
      <c r="B55" s="27" t="n">
        <v>75</v>
      </c>
      <c r="C55" s="28" t="n">
        <f aca="false">B55/10</f>
        <v>7.5</v>
      </c>
      <c r="D55" s="29" t="n">
        <f aca="false">'Precios de Ingredientes'!C18</f>
        <v>2000</v>
      </c>
      <c r="E55" s="30" t="n">
        <f aca="false">(C55/1000)*D55</f>
        <v>15</v>
      </c>
    </row>
    <row r="56" customFormat="false" ht="15" hidden="false" customHeight="true" outlineLevel="0" collapsed="false">
      <c r="A56" s="8" t="s">
        <v>106</v>
      </c>
      <c r="B56" s="27" t="n">
        <v>50</v>
      </c>
      <c r="C56" s="28" t="n">
        <f aca="false">B56/10</f>
        <v>5</v>
      </c>
      <c r="D56" s="29" t="n">
        <f aca="false">'Precios de Ingredientes'!C27</f>
        <v>39500</v>
      </c>
      <c r="E56" s="30" t="n">
        <f aca="false">(C56/1000)*D56</f>
        <v>197.5</v>
      </c>
    </row>
    <row r="57" customFormat="false" ht="15" hidden="false" customHeight="true" outlineLevel="0" collapsed="false">
      <c r="A57" s="8" t="s">
        <v>104</v>
      </c>
      <c r="B57" s="27" t="n">
        <v>45</v>
      </c>
      <c r="C57" s="28" t="n">
        <f aca="false">B57/10</f>
        <v>4.5</v>
      </c>
      <c r="D57" s="29" t="n">
        <f aca="false">'Precios de Ingredientes'!C26</f>
        <v>38000</v>
      </c>
      <c r="E57" s="30" t="n">
        <f aca="false">(C57/1000)*D57</f>
        <v>171</v>
      </c>
    </row>
    <row r="58" customFormat="false" ht="15" hidden="false" customHeight="true" outlineLevel="0" collapsed="false">
      <c r="A58" s="8" t="s">
        <v>116</v>
      </c>
      <c r="B58" s="27" t="n">
        <v>30</v>
      </c>
      <c r="C58" s="28" t="n">
        <f aca="false">B58/10</f>
        <v>3</v>
      </c>
      <c r="D58" s="29" t="n">
        <f aca="false">'Precios de Ingredientes'!C32</f>
        <v>11250</v>
      </c>
      <c r="E58" s="30" t="n">
        <f aca="false">(C58/1000)*D58</f>
        <v>33.75</v>
      </c>
    </row>
    <row r="59" customFormat="false" ht="15" hidden="false" customHeight="true" outlineLevel="0" collapsed="false">
      <c r="A59" s="8" t="s">
        <v>118</v>
      </c>
      <c r="B59" s="27" t="n">
        <v>53</v>
      </c>
      <c r="C59" s="28" t="n">
        <f aca="false">B59/10</f>
        <v>5.3</v>
      </c>
      <c r="D59" s="29" t="n">
        <f aca="false">'Precios de Ingredientes'!C33</f>
        <v>44000</v>
      </c>
      <c r="E59" s="30" t="n">
        <f aca="false">(C59/1000)*D59</f>
        <v>233.2</v>
      </c>
    </row>
    <row r="60" customFormat="false" ht="15" hidden="false" customHeight="true" outlineLevel="0" collapsed="false">
      <c r="A60" s="8" t="s">
        <v>120</v>
      </c>
      <c r="B60" s="27" t="n">
        <v>12</v>
      </c>
      <c r="C60" s="28" t="n">
        <f aca="false">B60/10</f>
        <v>1.2</v>
      </c>
      <c r="D60" s="29" t="n">
        <f aca="false">'Precios de Ingredientes'!C34</f>
        <v>48000</v>
      </c>
      <c r="E60" s="30" t="n">
        <f aca="false">(C60/1000)*D60</f>
        <v>57.6</v>
      </c>
    </row>
    <row r="61" customFormat="false" ht="15" hidden="false" customHeight="true" outlineLevel="0" collapsed="false">
      <c r="A61" s="8" t="s">
        <v>98</v>
      </c>
      <c r="B61" s="27" t="n">
        <v>15</v>
      </c>
      <c r="C61" s="28" t="n">
        <f aca="false">B61/10</f>
        <v>1.5</v>
      </c>
      <c r="D61" s="29" t="n">
        <f aca="false">'Precios de Ingredientes'!C23</f>
        <v>11900</v>
      </c>
      <c r="E61" s="30" t="n">
        <f aca="false">(C61/1000)*D61</f>
        <v>17.85</v>
      </c>
    </row>
    <row r="62" customFormat="false" ht="15" hidden="false" customHeight="true" outlineLevel="0" collapsed="false">
      <c r="A62" s="8" t="s">
        <v>156</v>
      </c>
      <c r="B62" s="27" t="n">
        <v>2</v>
      </c>
      <c r="C62" s="28" t="n">
        <f aca="false">B62/10</f>
        <v>0.2</v>
      </c>
      <c r="D62" s="29" t="n">
        <f aca="false">'Precios de Ingredientes'!C12</f>
        <v>31850</v>
      </c>
      <c r="E62" s="30" t="n">
        <f aca="false">(C62/1000)*D62</f>
        <v>6.37</v>
      </c>
    </row>
    <row r="63" customFormat="false" ht="15" hidden="false" customHeight="true" outlineLevel="0" collapsed="false">
      <c r="A63" s="8" t="s">
        <v>142</v>
      </c>
      <c r="B63" s="27" t="n">
        <v>0.8</v>
      </c>
      <c r="C63" s="28" t="n">
        <f aca="false">B63/10</f>
        <v>0.08</v>
      </c>
      <c r="D63" s="29" t="n">
        <f aca="false">'Precios de Ingredientes'!C14</f>
        <v>4000</v>
      </c>
      <c r="E63" s="30" t="n">
        <f aca="false">(C63/1000)*D63</f>
        <v>0.32</v>
      </c>
    </row>
    <row r="64" customFormat="false" ht="15" hidden="false" customHeight="true" outlineLevel="0" collapsed="false">
      <c r="A64" s="8" t="s">
        <v>149</v>
      </c>
      <c r="B64" s="27" t="n">
        <v>42.5</v>
      </c>
      <c r="C64" s="28" t="n">
        <f aca="false">B64/10</f>
        <v>4.25</v>
      </c>
      <c r="D64" s="29" t="n">
        <f aca="false">'Precios de Ingredientes'!C35</f>
        <v>0</v>
      </c>
      <c r="E64" s="30" t="n">
        <f aca="false">(C64/1000)*D64</f>
        <v>0</v>
      </c>
    </row>
    <row r="65" customFormat="false" ht="15" hidden="false" customHeight="true" outlineLevel="0" collapsed="false">
      <c r="A65" s="31" t="s">
        <v>161</v>
      </c>
      <c r="B65" s="32"/>
      <c r="C65" s="32"/>
      <c r="D65" s="32"/>
      <c r="E65" s="33" t="n">
        <f aca="false">SUM(E54:E64)</f>
        <v>815.39</v>
      </c>
    </row>
    <row r="67" customFormat="false" ht="19.5" hidden="false" customHeight="true" outlineLevel="0" collapsed="false">
      <c r="A67" s="4" t="s">
        <v>162</v>
      </c>
      <c r="B67" s="4"/>
      <c r="C67" s="4"/>
      <c r="D67" s="4"/>
      <c r="E67" s="4"/>
    </row>
    <row r="68" customFormat="false" ht="34.5" hidden="false" customHeight="true" outlineLevel="0" collapsed="false">
      <c r="A68" s="7" t="s">
        <v>163</v>
      </c>
      <c r="B68" s="7" t="s">
        <v>164</v>
      </c>
    </row>
    <row r="69" customFormat="false" ht="15" hidden="false" customHeight="true" outlineLevel="0" collapsed="false">
      <c r="A69" s="37" t="s">
        <v>165</v>
      </c>
      <c r="B69" s="30" t="n">
        <f aca="false">E17</f>
        <v>426.255</v>
      </c>
    </row>
    <row r="70" customFormat="false" ht="15" hidden="false" customHeight="true" outlineLevel="0" collapsed="false">
      <c r="A70" s="38" t="s">
        <v>166</v>
      </c>
      <c r="B70" s="30" t="n">
        <f aca="false">E35</f>
        <v>861.05</v>
      </c>
    </row>
    <row r="71" customFormat="false" ht="15" hidden="false" customHeight="true" outlineLevel="0" collapsed="false">
      <c r="A71" s="39" t="s">
        <v>167</v>
      </c>
      <c r="B71" s="30" t="n">
        <f aca="false">E50</f>
        <v>599.33</v>
      </c>
    </row>
    <row r="72" customFormat="false" ht="15" hidden="false" customHeight="true" outlineLevel="0" collapsed="false">
      <c r="A72" s="40" t="s">
        <v>168</v>
      </c>
      <c r="B72" s="30" t="n">
        <f aca="false">E65</f>
        <v>815.39</v>
      </c>
    </row>
    <row r="73" customFormat="false" ht="15" hidden="false" customHeight="true" outlineLevel="0" collapsed="false">
      <c r="A73" s="31" t="s">
        <v>169</v>
      </c>
      <c r="B73" s="33" t="n">
        <f aca="false">SUM(B69:B72)</f>
        <v>2702.025</v>
      </c>
    </row>
    <row r="75" customFormat="false" ht="30" hidden="false" customHeight="true" outlineLevel="0" collapsed="false">
      <c r="A75" s="41" t="s">
        <v>170</v>
      </c>
      <c r="B75" s="41"/>
      <c r="C75" s="41"/>
      <c r="D75" s="41"/>
      <c r="E75" s="41"/>
    </row>
  </sheetData>
  <mergeCells count="8">
    <mergeCell ref="A1:E1"/>
    <mergeCell ref="A2:E2"/>
    <mergeCell ref="A4:E4"/>
    <mergeCell ref="A19:E19"/>
    <mergeCell ref="A37:E37"/>
    <mergeCell ref="A52:E52"/>
    <mergeCell ref="A67:E67"/>
    <mergeCell ref="A75:E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5" min="3" style="1" width="16"/>
    <col collapsed="false" customWidth="true" hidden="false" outlineLevel="0" max="6" min="6" style="1" width="56"/>
  </cols>
  <sheetData>
    <row r="1" customFormat="false" ht="27.75" hidden="false" customHeight="true" outlineLevel="0" collapsed="false">
      <c r="A1" s="2" t="s">
        <v>171</v>
      </c>
      <c r="B1" s="2"/>
      <c r="C1" s="2"/>
      <c r="D1" s="2"/>
      <c r="E1" s="2"/>
      <c r="F1" s="2"/>
    </row>
    <row r="2" customFormat="false" ht="18" hidden="false" customHeight="true" outlineLevel="0" collapsed="false">
      <c r="A2" s="3" t="s">
        <v>172</v>
      </c>
      <c r="B2" s="3"/>
      <c r="C2" s="3"/>
      <c r="D2" s="3"/>
      <c r="E2" s="3"/>
      <c r="F2" s="3"/>
    </row>
    <row r="4" customFormat="false" ht="19.5" hidden="false" customHeight="true" outlineLevel="0" collapsed="false">
      <c r="A4" s="4" t="s">
        <v>173</v>
      </c>
      <c r="B4" s="4"/>
      <c r="C4" s="4"/>
      <c r="D4" s="4"/>
      <c r="E4" s="4"/>
      <c r="F4" s="4"/>
    </row>
    <row r="5" customFormat="false" ht="15" hidden="false" customHeight="true" outlineLevel="0" collapsed="false">
      <c r="A5" s="42" t="s">
        <v>174</v>
      </c>
      <c r="B5" s="42" t="s">
        <v>19</v>
      </c>
      <c r="C5" s="42" t="s">
        <v>175</v>
      </c>
    </row>
    <row r="6" customFormat="false" ht="39.75" hidden="false" customHeight="true" outlineLevel="0" collapsed="false">
      <c r="A6" s="20" t="s">
        <v>176</v>
      </c>
      <c r="B6" s="43" t="n">
        <v>11000</v>
      </c>
      <c r="C6" s="41" t="s">
        <v>177</v>
      </c>
      <c r="D6" s="41"/>
      <c r="E6" s="41"/>
      <c r="F6" s="41"/>
    </row>
    <row r="7" customFormat="false" ht="15" hidden="false" customHeight="true" outlineLevel="0" collapsed="false">
      <c r="A7" s="20" t="s">
        <v>178</v>
      </c>
      <c r="B7" s="44" t="n">
        <v>200</v>
      </c>
      <c r="C7" s="41" t="s">
        <v>179</v>
      </c>
      <c r="D7" s="41"/>
      <c r="E7" s="41"/>
      <c r="F7" s="41"/>
    </row>
    <row r="8" customFormat="false" ht="15" hidden="false" customHeight="true" outlineLevel="0" collapsed="false">
      <c r="A8" s="20" t="s">
        <v>180</v>
      </c>
      <c r="B8" s="45" t="n">
        <v>0.2</v>
      </c>
      <c r="C8" s="41" t="s">
        <v>181</v>
      </c>
      <c r="D8" s="41"/>
      <c r="E8" s="41"/>
      <c r="F8" s="41"/>
    </row>
    <row r="10" customFormat="false" ht="19.5" hidden="false" customHeight="true" outlineLevel="0" collapsed="false">
      <c r="A10" s="4" t="s">
        <v>182</v>
      </c>
      <c r="B10" s="4"/>
      <c r="C10" s="4"/>
      <c r="D10" s="4"/>
      <c r="E10" s="4"/>
      <c r="F10" s="4"/>
    </row>
    <row r="11" customFormat="false" ht="15" hidden="false" customHeight="true" outlineLevel="0" collapsed="false">
      <c r="A11" s="7" t="s">
        <v>183</v>
      </c>
      <c r="B11" s="7" t="s">
        <v>184</v>
      </c>
      <c r="C11" s="7" t="s">
        <v>185</v>
      </c>
      <c r="D11" s="7" t="s">
        <v>186</v>
      </c>
      <c r="E11" s="7" t="s">
        <v>187</v>
      </c>
      <c r="F11" s="7" t="s">
        <v>188</v>
      </c>
    </row>
    <row r="12" customFormat="false" ht="30" hidden="false" customHeight="true" outlineLevel="0" collapsed="false">
      <c r="A12" s="8" t="s">
        <v>189</v>
      </c>
      <c r="B12" s="46" t="s">
        <v>190</v>
      </c>
      <c r="C12" s="47" t="n">
        <f aca="false">8500/12</f>
        <v>708.333333333333</v>
      </c>
      <c r="D12" s="47" t="n">
        <f aca="false">C12*12</f>
        <v>8500</v>
      </c>
      <c r="E12" s="48" t="n">
        <f aca="false">C12/$C$22</f>
        <v>0.000956291837767902</v>
      </c>
      <c r="F12" s="49" t="s">
        <v>191</v>
      </c>
    </row>
    <row r="13" customFormat="false" ht="30" hidden="false" customHeight="true" outlineLevel="0" collapsed="false">
      <c r="A13" s="8" t="s">
        <v>192</v>
      </c>
      <c r="B13" s="46" t="s">
        <v>190</v>
      </c>
      <c r="C13" s="16" t="n">
        <v>0</v>
      </c>
      <c r="D13" s="47" t="n">
        <f aca="false">C13*12</f>
        <v>0</v>
      </c>
      <c r="E13" s="48" t="n">
        <f aca="false">C13/$C$22</f>
        <v>0</v>
      </c>
      <c r="F13" s="49" t="s">
        <v>193</v>
      </c>
    </row>
    <row r="14" customFormat="false" ht="30" hidden="false" customHeight="true" outlineLevel="0" collapsed="false">
      <c r="A14" s="8" t="s">
        <v>194</v>
      </c>
      <c r="B14" s="46" t="s">
        <v>190</v>
      </c>
      <c r="C14" s="16" t="n">
        <v>65000</v>
      </c>
      <c r="D14" s="47" t="n">
        <f aca="false">C14*12</f>
        <v>780000</v>
      </c>
      <c r="E14" s="48" t="n">
        <f aca="false">C14/$C$22</f>
        <v>0.0877538392304663</v>
      </c>
      <c r="F14" s="49" t="s">
        <v>195</v>
      </c>
    </row>
    <row r="15" customFormat="false" ht="30" hidden="false" customHeight="true" outlineLevel="0" collapsed="false">
      <c r="A15" s="8" t="s">
        <v>196</v>
      </c>
      <c r="B15" s="46" t="s">
        <v>190</v>
      </c>
      <c r="C15" s="16" t="n">
        <v>45000</v>
      </c>
      <c r="D15" s="47" t="n">
        <f aca="false">C15*12</f>
        <v>540000</v>
      </c>
      <c r="E15" s="48" t="n">
        <f aca="false">C15/$C$22</f>
        <v>0.0607526579287844</v>
      </c>
      <c r="F15" s="49" t="s">
        <v>197</v>
      </c>
    </row>
    <row r="16" customFormat="false" ht="30" hidden="false" customHeight="true" outlineLevel="0" collapsed="false">
      <c r="A16" s="8" t="s">
        <v>198</v>
      </c>
      <c r="B16" s="46" t="s">
        <v>190</v>
      </c>
      <c r="C16" s="16" t="n">
        <v>15000</v>
      </c>
      <c r="D16" s="47" t="n">
        <f aca="false">C16*12</f>
        <v>180000</v>
      </c>
      <c r="E16" s="48" t="n">
        <f aca="false">C16/$C$22</f>
        <v>0.0202508859762615</v>
      </c>
      <c r="F16" s="49" t="s">
        <v>199</v>
      </c>
    </row>
    <row r="17" customFormat="false" ht="30" hidden="false" customHeight="true" outlineLevel="0" collapsed="false">
      <c r="A17" s="8" t="s">
        <v>200</v>
      </c>
      <c r="B17" s="46" t="s">
        <v>190</v>
      </c>
      <c r="C17" s="16" t="n">
        <v>20000</v>
      </c>
      <c r="D17" s="47" t="n">
        <f aca="false">C17*12</f>
        <v>240000</v>
      </c>
      <c r="E17" s="48" t="n">
        <f aca="false">C17/$C$22</f>
        <v>0.0270011813016819</v>
      </c>
      <c r="F17" s="49" t="s">
        <v>201</v>
      </c>
    </row>
    <row r="18" customFormat="false" ht="30" hidden="false" customHeight="true" outlineLevel="0" collapsed="false">
      <c r="A18" s="8" t="s">
        <v>202</v>
      </c>
      <c r="B18" s="46" t="s">
        <v>190</v>
      </c>
      <c r="C18" s="16" t="n">
        <v>450000</v>
      </c>
      <c r="D18" s="47" t="n">
        <f aca="false">C18*12</f>
        <v>5400000</v>
      </c>
      <c r="E18" s="48" t="n">
        <f aca="false">C18/$C$22</f>
        <v>0.607526579287844</v>
      </c>
      <c r="F18" s="49" t="s">
        <v>203</v>
      </c>
    </row>
    <row r="19" customFormat="false" ht="30" hidden="false" customHeight="true" outlineLevel="0" collapsed="false">
      <c r="A19" s="8" t="s">
        <v>204</v>
      </c>
      <c r="B19" s="46" t="s">
        <v>190</v>
      </c>
      <c r="C19" s="16" t="n">
        <v>100000</v>
      </c>
      <c r="D19" s="47" t="n">
        <f aca="false">C19*12</f>
        <v>1200000</v>
      </c>
      <c r="E19" s="48" t="n">
        <f aca="false">C19/$C$22</f>
        <v>0.13500590650841</v>
      </c>
      <c r="F19" s="49" t="s">
        <v>205</v>
      </c>
    </row>
    <row r="20" customFormat="false" ht="30" hidden="false" customHeight="true" outlineLevel="0" collapsed="false">
      <c r="A20" s="8" t="s">
        <v>206</v>
      </c>
      <c r="B20" s="46" t="s">
        <v>190</v>
      </c>
      <c r="C20" s="16" t="n">
        <v>30000</v>
      </c>
      <c r="D20" s="47" t="n">
        <f aca="false">C20*12</f>
        <v>360000</v>
      </c>
      <c r="E20" s="48" t="n">
        <f aca="false">C20/$C$22</f>
        <v>0.0405017719525229</v>
      </c>
      <c r="F20" s="49" t="s">
        <v>207</v>
      </c>
    </row>
    <row r="21" customFormat="false" ht="30" hidden="false" customHeight="true" outlineLevel="0" collapsed="false">
      <c r="A21" s="8" t="s">
        <v>208</v>
      </c>
      <c r="B21" s="46" t="s">
        <v>190</v>
      </c>
      <c r="C21" s="16" t="n">
        <v>15000</v>
      </c>
      <c r="D21" s="47" t="n">
        <f aca="false">C21*12</f>
        <v>180000</v>
      </c>
      <c r="E21" s="48" t="n">
        <f aca="false">C21/$C$22</f>
        <v>0.0202508859762615</v>
      </c>
      <c r="F21" s="49" t="s">
        <v>209</v>
      </c>
    </row>
    <row r="22" customFormat="false" ht="15" hidden="false" customHeight="true" outlineLevel="0" collapsed="false">
      <c r="A22" s="31" t="s">
        <v>210</v>
      </c>
      <c r="B22" s="32"/>
      <c r="C22" s="50" t="n">
        <f aca="false">SUM(C12:C21)</f>
        <v>740708.333333333</v>
      </c>
      <c r="D22" s="50" t="n">
        <f aca="false">SUM(D12:D21)</f>
        <v>8888500</v>
      </c>
      <c r="E22" s="32"/>
      <c r="F22" s="32"/>
    </row>
    <row r="24" customFormat="false" ht="19.5" hidden="false" customHeight="true" outlineLevel="0" collapsed="false">
      <c r="A24" s="51" t="s">
        <v>211</v>
      </c>
      <c r="B24" s="51"/>
      <c r="C24" s="51"/>
      <c r="D24" s="51"/>
      <c r="E24" s="51"/>
      <c r="F24" s="51"/>
    </row>
    <row r="25" customFormat="false" ht="15" hidden="false" customHeight="true" outlineLevel="0" collapsed="false">
      <c r="A25" s="7" t="s">
        <v>183</v>
      </c>
      <c r="B25" s="7" t="s">
        <v>184</v>
      </c>
      <c r="C25" s="7" t="s">
        <v>212</v>
      </c>
      <c r="D25" s="7" t="s">
        <v>213</v>
      </c>
      <c r="E25" s="7" t="s">
        <v>214</v>
      </c>
      <c r="F25" s="7" t="s">
        <v>188</v>
      </c>
    </row>
    <row r="26" customFormat="false" ht="15" hidden="false" customHeight="true" outlineLevel="0" collapsed="false">
      <c r="A26" s="8" t="s">
        <v>215</v>
      </c>
      <c r="B26" s="52" t="s">
        <v>216</v>
      </c>
      <c r="C26" s="53" t="s">
        <v>217</v>
      </c>
      <c r="D26" s="53"/>
      <c r="E26" s="54" t="n">
        <f aca="false">'Costeo por Barrita'!B73</f>
        <v>2702.025</v>
      </c>
      <c r="F26" s="53" t="s">
        <v>218</v>
      </c>
    </row>
    <row r="27" customFormat="false" ht="30" hidden="false" customHeight="true" outlineLevel="0" collapsed="false">
      <c r="A27" s="8" t="s">
        <v>219</v>
      </c>
      <c r="B27" s="52" t="s">
        <v>216</v>
      </c>
      <c r="C27" s="55" t="n">
        <v>0.04</v>
      </c>
      <c r="D27" s="53" t="s">
        <v>220</v>
      </c>
      <c r="E27" s="54" t="n">
        <f aca="false">E26*C27</f>
        <v>108.081</v>
      </c>
      <c r="F27" s="49" t="s">
        <v>221</v>
      </c>
    </row>
    <row r="28" customFormat="false" ht="30" hidden="false" customHeight="true" outlineLevel="0" collapsed="false">
      <c r="A28" s="8" t="s">
        <v>222</v>
      </c>
      <c r="B28" s="52" t="s">
        <v>216</v>
      </c>
      <c r="C28" s="16" t="n">
        <v>1100</v>
      </c>
      <c r="D28" s="53" t="s">
        <v>223</v>
      </c>
      <c r="E28" s="56" t="n">
        <f aca="false">C28</f>
        <v>1100</v>
      </c>
      <c r="F28" s="49" t="s">
        <v>224</v>
      </c>
    </row>
    <row r="29" customFormat="false" ht="30" hidden="false" customHeight="true" outlineLevel="0" collapsed="false">
      <c r="A29" s="8" t="s">
        <v>225</v>
      </c>
      <c r="B29" s="52" t="s">
        <v>216</v>
      </c>
      <c r="C29" s="16" t="n">
        <v>65000</v>
      </c>
      <c r="D29" s="53" t="s">
        <v>226</v>
      </c>
      <c r="E29" s="19"/>
      <c r="F29" s="49" t="s">
        <v>227</v>
      </c>
    </row>
    <row r="30" customFormat="false" ht="15" hidden="false" customHeight="true" outlineLevel="0" collapsed="false">
      <c r="A30" s="8" t="s">
        <v>228</v>
      </c>
      <c r="B30" s="52" t="s">
        <v>216</v>
      </c>
      <c r="C30" s="57" t="n">
        <v>250</v>
      </c>
      <c r="D30" s="53" t="s">
        <v>229</v>
      </c>
      <c r="E30" s="19"/>
      <c r="F30" s="53" t="s">
        <v>230</v>
      </c>
    </row>
    <row r="31" customFormat="false" ht="15" hidden="false" customHeight="true" outlineLevel="0" collapsed="false">
      <c r="A31" s="8" t="s">
        <v>231</v>
      </c>
      <c r="B31" s="52" t="s">
        <v>216</v>
      </c>
      <c r="C31" s="19"/>
      <c r="D31" s="19"/>
      <c r="E31" s="54" t="n">
        <f aca="false">C29/C30</f>
        <v>260</v>
      </c>
      <c r="F31" s="53" t="s">
        <v>232</v>
      </c>
    </row>
    <row r="33" customFormat="false" ht="19.5" hidden="false" customHeight="true" outlineLevel="0" collapsed="false">
      <c r="A33" s="58" t="s">
        <v>233</v>
      </c>
      <c r="B33" s="58"/>
      <c r="C33" s="58"/>
      <c r="D33" s="58"/>
      <c r="E33" s="58"/>
      <c r="F33" s="58"/>
    </row>
    <row r="34" customFormat="false" ht="15" hidden="false" customHeight="true" outlineLevel="0" collapsed="false">
      <c r="A34" s="7" t="s">
        <v>183</v>
      </c>
      <c r="B34" s="7" t="s">
        <v>184</v>
      </c>
      <c r="C34" s="7" t="s">
        <v>212</v>
      </c>
      <c r="D34" s="7" t="s">
        <v>213</v>
      </c>
      <c r="E34" s="7" t="s">
        <v>214</v>
      </c>
      <c r="F34" s="7" t="s">
        <v>188</v>
      </c>
    </row>
    <row r="35" customFormat="false" ht="30" hidden="false" customHeight="true" outlineLevel="0" collapsed="false">
      <c r="A35" s="8" t="s">
        <v>234</v>
      </c>
      <c r="B35" s="38" t="s">
        <v>216</v>
      </c>
      <c r="C35" s="16" t="n">
        <v>480</v>
      </c>
      <c r="D35" s="53" t="s">
        <v>235</v>
      </c>
      <c r="E35" s="56" t="n">
        <f aca="false">C35</f>
        <v>480</v>
      </c>
      <c r="F35" s="49" t="s">
        <v>236</v>
      </c>
    </row>
    <row r="36" customFormat="false" ht="30" hidden="false" customHeight="true" outlineLevel="0" collapsed="false">
      <c r="A36" s="8" t="s">
        <v>237</v>
      </c>
      <c r="B36" s="38" t="s">
        <v>216</v>
      </c>
      <c r="C36" s="16" t="n">
        <v>350</v>
      </c>
      <c r="D36" s="53" t="s">
        <v>238</v>
      </c>
      <c r="E36" s="56" t="n">
        <f aca="false">C36</f>
        <v>350</v>
      </c>
      <c r="F36" s="49" t="s">
        <v>239</v>
      </c>
    </row>
    <row r="37" customFormat="false" ht="30" hidden="false" customHeight="true" outlineLevel="0" collapsed="false">
      <c r="A37" s="8" t="s">
        <v>240</v>
      </c>
      <c r="B37" s="38" t="s">
        <v>216</v>
      </c>
      <c r="C37" s="16" t="n">
        <v>200</v>
      </c>
      <c r="D37" s="53" t="s">
        <v>241</v>
      </c>
      <c r="E37" s="56" t="n">
        <f aca="false">C37</f>
        <v>200</v>
      </c>
      <c r="F37" s="49" t="s">
        <v>242</v>
      </c>
    </row>
    <row r="38" customFormat="false" ht="30" hidden="false" customHeight="true" outlineLevel="0" collapsed="false">
      <c r="A38" s="8" t="s">
        <v>243</v>
      </c>
      <c r="B38" s="38" t="s">
        <v>216</v>
      </c>
      <c r="C38" s="16" t="n">
        <v>32</v>
      </c>
      <c r="D38" s="53" t="s">
        <v>241</v>
      </c>
      <c r="E38" s="56" t="n">
        <f aca="false">C38</f>
        <v>32</v>
      </c>
      <c r="F38" s="49" t="s">
        <v>244</v>
      </c>
    </row>
    <row r="39" customFormat="false" ht="30" hidden="false" customHeight="true" outlineLevel="0" collapsed="false">
      <c r="A39" s="8" t="s">
        <v>245</v>
      </c>
      <c r="B39" s="38" t="s">
        <v>216</v>
      </c>
      <c r="C39" s="16" t="n">
        <v>32.5</v>
      </c>
      <c r="D39" s="53" t="s">
        <v>241</v>
      </c>
      <c r="E39" s="56" t="n">
        <f aca="false">C39</f>
        <v>32.5</v>
      </c>
      <c r="F39" s="49" t="s">
        <v>246</v>
      </c>
    </row>
    <row r="41" customFormat="false" ht="19.5" hidden="false" customHeight="true" outlineLevel="0" collapsed="false">
      <c r="A41" s="4" t="s">
        <v>247</v>
      </c>
      <c r="B41" s="4"/>
      <c r="C41" s="4"/>
      <c r="D41" s="4"/>
      <c r="E41" s="4"/>
      <c r="F41" s="4"/>
    </row>
    <row r="42" customFormat="false" ht="15" hidden="false" customHeight="true" outlineLevel="0" collapsed="false">
      <c r="A42" s="7" t="s">
        <v>183</v>
      </c>
      <c r="B42" s="7" t="s">
        <v>184</v>
      </c>
      <c r="C42" s="7" t="s">
        <v>212</v>
      </c>
      <c r="D42" s="7" t="s">
        <v>213</v>
      </c>
      <c r="E42" s="7" t="s">
        <v>214</v>
      </c>
      <c r="F42" s="7" t="s">
        <v>188</v>
      </c>
    </row>
    <row r="43" customFormat="false" ht="30" hidden="false" customHeight="true" outlineLevel="0" collapsed="false">
      <c r="A43" s="8" t="s">
        <v>248</v>
      </c>
      <c r="B43" s="59" t="s">
        <v>249</v>
      </c>
      <c r="C43" s="16" t="n">
        <v>1800</v>
      </c>
      <c r="D43" s="53" t="s">
        <v>250</v>
      </c>
      <c r="E43" s="60" t="n">
        <v>0</v>
      </c>
      <c r="F43" s="49" t="s">
        <v>251</v>
      </c>
    </row>
    <row r="44" customFormat="false" ht="15" hidden="false" customHeight="true" outlineLevel="0" collapsed="false">
      <c r="A44" s="8" t="s">
        <v>252</v>
      </c>
      <c r="B44" s="61" t="s">
        <v>216</v>
      </c>
      <c r="C44" s="62" t="n">
        <v>0.0593</v>
      </c>
      <c r="D44" s="53" t="s">
        <v>253</v>
      </c>
      <c r="E44" s="56" t="n">
        <f aca="false">C44*$B$6</f>
        <v>652.3</v>
      </c>
      <c r="F44" s="53" t="s">
        <v>254</v>
      </c>
    </row>
    <row r="45" customFormat="false" ht="15" hidden="false" customHeight="true" outlineLevel="0" collapsed="false">
      <c r="A45" s="31" t="s">
        <v>255</v>
      </c>
      <c r="B45" s="32"/>
      <c r="C45" s="32"/>
      <c r="D45" s="32"/>
      <c r="E45" s="50" t="n">
        <f aca="false">E26+E27+E28+E31+E35+E36+E37+E38+E39+E44</f>
        <v>5916.906</v>
      </c>
      <c r="F45" s="32"/>
    </row>
    <row r="46" customFormat="false" ht="15" hidden="false" customHeight="true" outlineLevel="0" collapsed="false">
      <c r="A46" s="63" t="s">
        <v>256</v>
      </c>
      <c r="B46" s="64"/>
      <c r="C46" s="64"/>
      <c r="D46" s="64"/>
      <c r="E46" s="65" t="n">
        <f aca="false">$B$6-E45</f>
        <v>5083.094</v>
      </c>
      <c r="F46" s="64"/>
    </row>
    <row r="47" customFormat="false" ht="15" hidden="false" customHeight="true" outlineLevel="0" collapsed="false">
      <c r="A47" s="63" t="s">
        <v>257</v>
      </c>
      <c r="B47" s="64"/>
      <c r="C47" s="64"/>
      <c r="D47" s="64"/>
      <c r="E47" s="66" t="n">
        <f aca="false">E46/$B$6</f>
        <v>0.462099454545455</v>
      </c>
      <c r="F47" s="64"/>
    </row>
    <row r="49" customFormat="false" ht="27.75" hidden="false" customHeight="true" outlineLevel="0" collapsed="false">
      <c r="A49" s="41" t="s">
        <v>258</v>
      </c>
      <c r="B49" s="41"/>
      <c r="C49" s="41"/>
      <c r="D49" s="41"/>
      <c r="E49" s="41"/>
      <c r="F49" s="41"/>
    </row>
    <row r="51" customFormat="false" ht="19.5" hidden="false" customHeight="true" outlineLevel="0" collapsed="false">
      <c r="A51" s="4" t="s">
        <v>259</v>
      </c>
      <c r="B51" s="4"/>
      <c r="C51" s="4"/>
      <c r="D51" s="4"/>
      <c r="E51" s="4"/>
      <c r="F51" s="4"/>
    </row>
    <row r="52" customFormat="false" ht="15" hidden="false" customHeight="true" outlineLevel="0" collapsed="false">
      <c r="A52" s="7" t="s">
        <v>183</v>
      </c>
      <c r="B52" s="7" t="s">
        <v>260</v>
      </c>
      <c r="C52" s="7" t="s">
        <v>261</v>
      </c>
      <c r="D52" s="7" t="s">
        <v>262</v>
      </c>
      <c r="E52" s="7" t="s">
        <v>263</v>
      </c>
      <c r="F52" s="7" t="s">
        <v>264</v>
      </c>
      <c r="G52" s="7" t="s">
        <v>265</v>
      </c>
    </row>
    <row r="53" customFormat="false" ht="15" hidden="false" customHeight="true" outlineLevel="0" collapsed="false">
      <c r="A53" s="8" t="s">
        <v>266</v>
      </c>
      <c r="B53" s="67" t="n">
        <f aca="false">B7</f>
        <v>200</v>
      </c>
      <c r="C53" s="67" t="n">
        <f aca="false">B53*(1+$B$8)</f>
        <v>240</v>
      </c>
      <c r="D53" s="67" t="n">
        <f aca="false">C53*(1+$B$8)</f>
        <v>288</v>
      </c>
      <c r="E53" s="67" t="n">
        <f aca="false">D53*(1+$B$8)</f>
        <v>345.6</v>
      </c>
      <c r="F53" s="67" t="n">
        <f aca="false">E53*(1+$B$8)</f>
        <v>414.72</v>
      </c>
      <c r="G53" s="67" t="n">
        <f aca="false">F53*(1+$B$8)</f>
        <v>497.664</v>
      </c>
    </row>
    <row r="54" customFormat="false" ht="15" hidden="false" customHeight="true" outlineLevel="0" collapsed="false">
      <c r="A54" s="8" t="s">
        <v>267</v>
      </c>
      <c r="B54" s="47" t="n">
        <f aca="false">B53*$B$6</f>
        <v>2200000</v>
      </c>
      <c r="C54" s="47" t="n">
        <f aca="false">C53*$B$6</f>
        <v>2640000</v>
      </c>
      <c r="D54" s="47" t="n">
        <f aca="false">D53*$B$6</f>
        <v>3168000</v>
      </c>
      <c r="E54" s="47" t="n">
        <f aca="false">E53*$B$6</f>
        <v>3801600</v>
      </c>
      <c r="F54" s="47" t="n">
        <f aca="false">F53*$B$6</f>
        <v>4561920</v>
      </c>
      <c r="G54" s="47" t="n">
        <f aca="false">G53*$B$6</f>
        <v>5474304</v>
      </c>
    </row>
    <row r="55" customFormat="false" ht="15" hidden="false" customHeight="true" outlineLevel="0" collapsed="false">
      <c r="A55" s="8" t="s">
        <v>268</v>
      </c>
      <c r="B55" s="68" t="n">
        <f aca="false">$C$22</f>
        <v>740708.333333333</v>
      </c>
      <c r="C55" s="68" t="n">
        <f aca="false">$C$22</f>
        <v>740708.333333333</v>
      </c>
      <c r="D55" s="68" t="n">
        <f aca="false">$C$22</f>
        <v>740708.333333333</v>
      </c>
      <c r="E55" s="68" t="n">
        <f aca="false">$C$22</f>
        <v>740708.333333333</v>
      </c>
      <c r="F55" s="68" t="n">
        <f aca="false">$C$22</f>
        <v>740708.333333333</v>
      </c>
      <c r="G55" s="68" t="n">
        <f aca="false">$C$22</f>
        <v>740708.333333333</v>
      </c>
    </row>
    <row r="56" customFormat="false" ht="15" hidden="false" customHeight="true" outlineLevel="0" collapsed="false">
      <c r="A56" s="8" t="s">
        <v>269</v>
      </c>
      <c r="B56" s="69" t="n">
        <f aca="false">B53*$E$45</f>
        <v>1183381.2</v>
      </c>
      <c r="C56" s="69" t="n">
        <f aca="false">C53*$E$45</f>
        <v>1420057.44</v>
      </c>
      <c r="D56" s="69" t="n">
        <f aca="false">D53*$E$45</f>
        <v>1704068.928</v>
      </c>
      <c r="E56" s="69" t="n">
        <f aca="false">E53*$E$45</f>
        <v>2044882.7136</v>
      </c>
      <c r="F56" s="69" t="n">
        <f aca="false">F53*$E$45</f>
        <v>2453859.25632</v>
      </c>
      <c r="G56" s="69" t="n">
        <f aca="false">G53*$E$45</f>
        <v>2944631.107584</v>
      </c>
    </row>
    <row r="57" customFormat="false" ht="15" hidden="false" customHeight="true" outlineLevel="0" collapsed="false">
      <c r="A57" s="5" t="s">
        <v>270</v>
      </c>
      <c r="B57" s="50" t="n">
        <f aca="false">B55+B56</f>
        <v>1924089.53333333</v>
      </c>
      <c r="C57" s="50" t="n">
        <f aca="false">C55+C56</f>
        <v>2160765.77333333</v>
      </c>
      <c r="D57" s="50" t="n">
        <f aca="false">D55+D56</f>
        <v>2444777.26133333</v>
      </c>
      <c r="E57" s="50" t="n">
        <f aca="false">E55+E56</f>
        <v>2785591.04693333</v>
      </c>
      <c r="F57" s="50" t="n">
        <f aca="false">F55+F56</f>
        <v>3194567.58965333</v>
      </c>
      <c r="G57" s="50" t="n">
        <f aca="false">G55+G56</f>
        <v>3685339.44091733</v>
      </c>
    </row>
    <row r="58" customFormat="false" ht="15" hidden="false" customHeight="true" outlineLevel="0" collapsed="false">
      <c r="A58" s="8" t="s">
        <v>271</v>
      </c>
      <c r="B58" s="70" t="n">
        <f aca="false">B55/$E$46</f>
        <v>145.719975537209</v>
      </c>
      <c r="C58" s="70" t="n">
        <f aca="false">C55/$E$46</f>
        <v>145.719975537209</v>
      </c>
      <c r="D58" s="70" t="n">
        <f aca="false">D55/$E$46</f>
        <v>145.719975537209</v>
      </c>
      <c r="E58" s="70" t="n">
        <f aca="false">E55/$E$46</f>
        <v>145.719975537209</v>
      </c>
      <c r="F58" s="70" t="n">
        <f aca="false">F55/$E$46</f>
        <v>145.719975537209</v>
      </c>
      <c r="G58" s="70" t="n">
        <f aca="false">G55/$E$46</f>
        <v>145.719975537209</v>
      </c>
    </row>
    <row r="60" customFormat="false" ht="19.5" hidden="false" customHeight="true" outlineLevel="0" collapsed="false">
      <c r="A60" s="41" t="s">
        <v>272</v>
      </c>
      <c r="B60" s="41"/>
      <c r="C60" s="41"/>
      <c r="D60" s="41"/>
      <c r="E60" s="41"/>
      <c r="F60" s="41"/>
    </row>
  </sheetData>
  <mergeCells count="14">
    <mergeCell ref="A1:F1"/>
    <mergeCell ref="A2:F2"/>
    <mergeCell ref="A4:F4"/>
    <mergeCell ref="C6:F6"/>
    <mergeCell ref="C7:F7"/>
    <mergeCell ref="C8:F8"/>
    <mergeCell ref="A10:F10"/>
    <mergeCell ref="A24:F24"/>
    <mergeCell ref="C26:D26"/>
    <mergeCell ref="A33:F33"/>
    <mergeCell ref="A41:F41"/>
    <mergeCell ref="A49:F49"/>
    <mergeCell ref="A51:F51"/>
    <mergeCell ref="A60:F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6"/>
    <col collapsed="false" customWidth="true" hidden="false" outlineLevel="0" max="4" min="4" style="1" width="22"/>
    <col collapsed="false" customWidth="true" hidden="false" outlineLevel="0" max="5" min="5" style="1" width="18"/>
    <col collapsed="false" customWidth="true" hidden="false" outlineLevel="0" max="6" min="6" style="1" width="24"/>
    <col collapsed="false" customWidth="true" hidden="false" outlineLevel="0" max="7" min="7" style="1" width="22"/>
  </cols>
  <sheetData>
    <row r="1" customFormat="false" ht="27.75" hidden="false" customHeight="true" outlineLevel="0" collapsed="false">
      <c r="A1" s="2" t="s">
        <v>273</v>
      </c>
      <c r="B1" s="2"/>
      <c r="C1" s="2"/>
      <c r="D1" s="2"/>
      <c r="E1" s="2"/>
      <c r="F1" s="2"/>
      <c r="G1" s="2"/>
    </row>
    <row r="2" customFormat="false" ht="18" hidden="false" customHeight="true" outlineLevel="0" collapsed="false">
      <c r="A2" s="3" t="s">
        <v>274</v>
      </c>
      <c r="B2" s="3"/>
      <c r="C2" s="3"/>
      <c r="D2" s="3"/>
      <c r="E2" s="3"/>
      <c r="F2" s="3"/>
      <c r="G2" s="3"/>
    </row>
    <row r="4" customFormat="false" ht="19.5" hidden="false" customHeight="true" outlineLevel="0" collapsed="false">
      <c r="A4" s="4" t="s">
        <v>275</v>
      </c>
      <c r="B4" s="4"/>
      <c r="C4" s="4"/>
      <c r="D4" s="4"/>
      <c r="E4" s="4"/>
      <c r="F4" s="4"/>
      <c r="G4" s="4"/>
    </row>
    <row r="5" customFormat="false" ht="15" hidden="false" customHeight="true" outlineLevel="0" collapsed="false">
      <c r="A5" s="8" t="s">
        <v>276</v>
      </c>
      <c r="B5" s="56" t="n">
        <f aca="false">'Costos Fijos y Variables'!E26+'Costos Fijos y Variables'!E27+'Costos Fijos y Variables'!E28+'Costos Fijos y Variables'!E31+'Costos Fijos y Variables'!E35+'Costos Fijos y Variables'!E36+'Costos Fijos y Variables'!E37+'Costos Fijos y Variables'!E38+'Costos Fijos y Variables'!E39</f>
        <v>5264.606</v>
      </c>
    </row>
    <row r="7" customFormat="false" ht="19.5" hidden="false" customHeight="true" outlineLevel="0" collapsed="false">
      <c r="A7" s="4" t="s">
        <v>277</v>
      </c>
      <c r="B7" s="4"/>
      <c r="C7" s="4"/>
      <c r="D7" s="4"/>
      <c r="E7" s="4"/>
      <c r="F7" s="4"/>
      <c r="G7" s="4"/>
    </row>
    <row r="8" customFormat="false" ht="15" hidden="false" customHeight="true" outlineLevel="0" collapsed="false">
      <c r="A8" s="8" t="s">
        <v>278</v>
      </c>
      <c r="B8" s="55" t="n">
        <v>0.045</v>
      </c>
      <c r="C8" s="41" t="s">
        <v>279</v>
      </c>
      <c r="D8" s="41"/>
      <c r="E8" s="41"/>
      <c r="F8" s="41"/>
      <c r="G8" s="41"/>
    </row>
    <row r="9" customFormat="false" ht="15" hidden="false" customHeight="true" outlineLevel="0" collapsed="false">
      <c r="A9" s="8" t="s">
        <v>280</v>
      </c>
      <c r="B9" s="55" t="n">
        <v>0.045</v>
      </c>
      <c r="C9" s="41" t="s">
        <v>281</v>
      </c>
      <c r="D9" s="41"/>
      <c r="E9" s="41"/>
      <c r="F9" s="41"/>
      <c r="G9" s="41"/>
    </row>
    <row r="10" customFormat="false" ht="15" hidden="false" customHeight="true" outlineLevel="0" collapsed="false">
      <c r="A10" s="8" t="s">
        <v>282</v>
      </c>
      <c r="B10" s="55" t="n">
        <v>0.06</v>
      </c>
      <c r="C10" s="41" t="s">
        <v>283</v>
      </c>
      <c r="D10" s="41"/>
      <c r="E10" s="41"/>
      <c r="F10" s="41"/>
      <c r="G10" s="41"/>
    </row>
    <row r="11" customFormat="false" ht="15" hidden="false" customHeight="true" outlineLevel="0" collapsed="false">
      <c r="A11" s="63" t="s">
        <v>284</v>
      </c>
      <c r="B11" s="66" t="n">
        <f aca="false">B8+B9+B10</f>
        <v>0.15</v>
      </c>
    </row>
    <row r="13" customFormat="false" ht="23.25" hidden="false" customHeight="true" outlineLevel="0" collapsed="false">
      <c r="A13" s="7" t="s">
        <v>285</v>
      </c>
      <c r="B13" s="7" t="s">
        <v>286</v>
      </c>
      <c r="C13" s="7" t="s">
        <v>287</v>
      </c>
      <c r="D13" s="7" t="s">
        <v>288</v>
      </c>
      <c r="E13" s="7" t="s">
        <v>289</v>
      </c>
      <c r="F13" s="7" t="s">
        <v>290</v>
      </c>
      <c r="G13" s="7" t="s">
        <v>291</v>
      </c>
    </row>
    <row r="14" customFormat="false" ht="15" hidden="false" customHeight="true" outlineLevel="0" collapsed="false">
      <c r="A14" s="8" t="s">
        <v>292</v>
      </c>
      <c r="B14" s="47" t="n">
        <v>9000</v>
      </c>
      <c r="C14" s="47" t="n">
        <f aca="false">B14*'Costos Fijos y Variables'!C44</f>
        <v>533.7</v>
      </c>
      <c r="D14" s="47" t="n">
        <f aca="false">$B$5+C14</f>
        <v>5798.306</v>
      </c>
      <c r="E14" s="47" t="n">
        <f aca="false">B14-D14</f>
        <v>3201.694</v>
      </c>
      <c r="F14" s="47" t="n">
        <f aca="false">E14-(B14*$B$11)</f>
        <v>1851.694</v>
      </c>
      <c r="G14" s="71" t="n">
        <f aca="false">'Costos Fijos y Variables'!$C$22/F14</f>
        <v>400.016597414764</v>
      </c>
    </row>
    <row r="15" customFormat="false" ht="15" hidden="false" customHeight="true" outlineLevel="0" collapsed="false">
      <c r="A15" s="8" t="s">
        <v>293</v>
      </c>
      <c r="B15" s="47" t="n">
        <v>10000</v>
      </c>
      <c r="C15" s="47" t="n">
        <f aca="false">B15*'Costos Fijos y Variables'!C44</f>
        <v>593</v>
      </c>
      <c r="D15" s="47" t="n">
        <f aca="false">$B$5+C15</f>
        <v>5857.606</v>
      </c>
      <c r="E15" s="47" t="n">
        <f aca="false">B15-D15</f>
        <v>4142.394</v>
      </c>
      <c r="F15" s="47" t="n">
        <f aca="false">E15-(B15*$B$11)</f>
        <v>2642.394</v>
      </c>
      <c r="G15" s="71" t="n">
        <f aca="false">'Costos Fijos y Variables'!$C$22/F15</f>
        <v>280.317141703067</v>
      </c>
    </row>
    <row r="16" customFormat="false" ht="15" hidden="false" customHeight="true" outlineLevel="0" collapsed="false">
      <c r="A16" s="72" t="s">
        <v>294</v>
      </c>
      <c r="B16" s="73" t="n">
        <v>11000</v>
      </c>
      <c r="C16" s="73" t="n">
        <f aca="false">B16*'Costos Fijos y Variables'!C44</f>
        <v>652.3</v>
      </c>
      <c r="D16" s="73" t="n">
        <f aca="false">$B$5+C16</f>
        <v>5916.906</v>
      </c>
      <c r="E16" s="73" t="n">
        <f aca="false">B16-D16</f>
        <v>5083.094</v>
      </c>
      <c r="F16" s="73" t="n">
        <f aca="false">E16-(B16*$B$11)</f>
        <v>3433.094</v>
      </c>
      <c r="G16" s="74" t="n">
        <f aca="false">'Costos Fijos y Variables'!$C$22/F16</f>
        <v>215.755331293968</v>
      </c>
    </row>
    <row r="17" customFormat="false" ht="15" hidden="false" customHeight="true" outlineLevel="0" collapsed="false">
      <c r="A17" s="8" t="s">
        <v>295</v>
      </c>
      <c r="B17" s="47" t="n">
        <v>12000</v>
      </c>
      <c r="C17" s="47" t="n">
        <f aca="false">B17*'Costos Fijos y Variables'!C44</f>
        <v>711.6</v>
      </c>
      <c r="D17" s="47" t="n">
        <f aca="false">$B$5+C17</f>
        <v>5976.206</v>
      </c>
      <c r="E17" s="47" t="n">
        <f aca="false">B17-D17</f>
        <v>6023.794</v>
      </c>
      <c r="F17" s="47" t="n">
        <f aca="false">E17-(B17*$B$11)</f>
        <v>4223.794</v>
      </c>
      <c r="G17" s="71" t="n">
        <f aca="false">'Costos Fijos y Variables'!$C$22/F17</f>
        <v>175.365638886114</v>
      </c>
    </row>
    <row r="19" customFormat="false" ht="39.75" hidden="false" customHeight="true" outlineLevel="0" collapsed="false">
      <c r="A19" s="41" t="s">
        <v>296</v>
      </c>
      <c r="B19" s="41"/>
      <c r="C19" s="41"/>
      <c r="D19" s="41"/>
      <c r="E19" s="41"/>
      <c r="F19" s="41"/>
      <c r="G19" s="41"/>
    </row>
    <row r="21" customFormat="false" ht="39.75" hidden="false" customHeight="true" outlineLevel="0" collapsed="false">
      <c r="A21" s="41" t="s">
        <v>297</v>
      </c>
      <c r="B21" s="41"/>
      <c r="C21" s="41"/>
      <c r="D21" s="41"/>
      <c r="E21" s="41"/>
      <c r="F21" s="41"/>
      <c r="G21" s="41"/>
    </row>
  </sheetData>
  <mergeCells count="9">
    <mergeCell ref="A1:G1"/>
    <mergeCell ref="A2:G2"/>
    <mergeCell ref="A4:G4"/>
    <mergeCell ref="A7:G7"/>
    <mergeCell ref="C8:G8"/>
    <mergeCell ref="C9:G9"/>
    <mergeCell ref="C10:G10"/>
    <mergeCell ref="A19:G19"/>
    <mergeCell ref="A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8"/>
  </cols>
  <sheetData>
    <row r="1" customFormat="false" ht="27.75" hidden="false" customHeight="true" outlineLevel="0" collapsed="false">
      <c r="A1" s="2" t="s">
        <v>298</v>
      </c>
      <c r="B1" s="2"/>
      <c r="C1" s="2"/>
      <c r="D1" s="2"/>
    </row>
    <row r="2" customFormat="false" ht="18" hidden="false" customHeight="true" outlineLevel="0" collapsed="false">
      <c r="A2" s="3" t="s">
        <v>299</v>
      </c>
      <c r="B2" s="3"/>
      <c r="C2" s="3"/>
      <c r="D2" s="3"/>
    </row>
    <row r="4" customFormat="false" ht="19.5" hidden="false" customHeight="true" outlineLevel="0" collapsed="false">
      <c r="A4" s="4" t="s">
        <v>300</v>
      </c>
      <c r="B4" s="4"/>
      <c r="C4" s="4"/>
      <c r="D4" s="4"/>
    </row>
    <row r="5" customFormat="false" ht="23.25" hidden="false" customHeight="true" outlineLevel="0" collapsed="false">
      <c r="A5" s="7" t="s">
        <v>183</v>
      </c>
      <c r="B5" s="7" t="s">
        <v>301</v>
      </c>
      <c r="C5" s="7" t="s">
        <v>302</v>
      </c>
      <c r="D5" s="7" t="s">
        <v>303</v>
      </c>
    </row>
    <row r="6" customFormat="false" ht="15" hidden="false" customHeight="true" outlineLevel="0" collapsed="false">
      <c r="A6" s="8" t="s">
        <v>304</v>
      </c>
      <c r="B6" s="8" t="n">
        <v>1</v>
      </c>
      <c r="C6" s="8" t="n">
        <v>2</v>
      </c>
      <c r="D6" s="8" t="n">
        <v>3</v>
      </c>
    </row>
    <row r="7" customFormat="false" ht="15" hidden="false" customHeight="true" outlineLevel="0" collapsed="false">
      <c r="A7" s="8" t="s">
        <v>305</v>
      </c>
      <c r="B7" s="56" t="n">
        <f aca="false">B6*'Costeo por Barrita'!$B$73</f>
        <v>2702.025</v>
      </c>
      <c r="C7" s="56" t="n">
        <f aca="false">C6*'Costeo por Barrita'!$B$73</f>
        <v>5404.05</v>
      </c>
      <c r="D7" s="56" t="n">
        <f aca="false">D6*'Costeo por Barrita'!$B$73</f>
        <v>8106.075</v>
      </c>
    </row>
    <row r="8" customFormat="false" ht="15" hidden="false" customHeight="true" outlineLevel="0" collapsed="false">
      <c r="A8" s="8" t="s">
        <v>306</v>
      </c>
      <c r="B8" s="56" t="n">
        <f aca="false">B7*'Costos Fijos y Variables'!$C$27</f>
        <v>108.081</v>
      </c>
      <c r="C8" s="56" t="n">
        <f aca="false">C7*'Costos Fijos y Variables'!$C$27</f>
        <v>216.162</v>
      </c>
      <c r="D8" s="56" t="n">
        <f aca="false">D7*'Costos Fijos y Variables'!$C$27</f>
        <v>324.243</v>
      </c>
    </row>
    <row r="9" customFormat="false" ht="15" hidden="false" customHeight="true" outlineLevel="0" collapsed="false">
      <c r="A9" s="8" t="s">
        <v>307</v>
      </c>
      <c r="B9" s="56" t="n">
        <f aca="false">B6*'Costos Fijos y Variables'!$C$28</f>
        <v>1100</v>
      </c>
      <c r="C9" s="56" t="n">
        <f aca="false">C6*'Costos Fijos y Variables'!$C$28</f>
        <v>2200</v>
      </c>
      <c r="D9" s="56" t="n">
        <f aca="false">D6*'Costos Fijos y Variables'!$C$28</f>
        <v>3300</v>
      </c>
    </row>
    <row r="10" customFormat="false" ht="15" hidden="false" customHeight="true" outlineLevel="0" collapsed="false">
      <c r="A10" s="8" t="s">
        <v>308</v>
      </c>
      <c r="B10" s="56" t="n">
        <f aca="false">'Costos Fijos y Variables'!$C$29/'Costos Fijos y Variables'!$C$30</f>
        <v>260</v>
      </c>
      <c r="C10" s="56" t="n">
        <f aca="false">'Costos Fijos y Variables'!$C$29/'Costos Fijos y Variables'!$C$30</f>
        <v>260</v>
      </c>
      <c r="D10" s="56" t="n">
        <f aca="false">'Costos Fijos y Variables'!$C$29/'Costos Fijos y Variables'!$C$30</f>
        <v>260</v>
      </c>
    </row>
    <row r="11" customFormat="false" ht="15" hidden="false" customHeight="true" outlineLevel="0" collapsed="false">
      <c r="A11" s="8" t="s">
        <v>309</v>
      </c>
      <c r="B11" s="56" t="n">
        <f aca="false">B6*'Costos Fijos y Variables'!$C$35</f>
        <v>480</v>
      </c>
      <c r="C11" s="56" t="n">
        <f aca="false">C6*'Costos Fijos y Variables'!$C$35</f>
        <v>960</v>
      </c>
      <c r="D11" s="56" t="n">
        <f aca="false">D6*'Costos Fijos y Variables'!$C$35</f>
        <v>1440</v>
      </c>
    </row>
    <row r="12" customFormat="false" ht="15" hidden="false" customHeight="true" outlineLevel="0" collapsed="false">
      <c r="A12" s="8" t="s">
        <v>310</v>
      </c>
      <c r="B12" s="16" t="n">
        <v>350</v>
      </c>
      <c r="C12" s="16" t="n">
        <v>500</v>
      </c>
      <c r="D12" s="16" t="n">
        <v>650</v>
      </c>
    </row>
    <row r="13" customFormat="false" ht="15" hidden="false" customHeight="true" outlineLevel="0" collapsed="false">
      <c r="A13" s="8" t="s">
        <v>311</v>
      </c>
      <c r="B13" s="56" t="n">
        <f aca="false">'Costos Fijos y Variables'!$C$37</f>
        <v>200</v>
      </c>
      <c r="C13" s="56" t="n">
        <f aca="false">'Costos Fijos y Variables'!$C$37</f>
        <v>200</v>
      </c>
      <c r="D13" s="56" t="n">
        <f aca="false">'Costos Fijos y Variables'!$C$37</f>
        <v>200</v>
      </c>
    </row>
    <row r="14" customFormat="false" ht="15" hidden="false" customHeight="true" outlineLevel="0" collapsed="false">
      <c r="A14" s="8" t="s">
        <v>312</v>
      </c>
      <c r="B14" s="56" t="n">
        <f aca="false">'Costos Fijos y Variables'!$C$38</f>
        <v>32</v>
      </c>
      <c r="C14" s="56" t="n">
        <f aca="false">'Costos Fijos y Variables'!$C$38</f>
        <v>32</v>
      </c>
      <c r="D14" s="56" t="n">
        <f aca="false">'Costos Fijos y Variables'!$C$38</f>
        <v>32</v>
      </c>
    </row>
    <row r="15" customFormat="false" ht="15" hidden="false" customHeight="true" outlineLevel="0" collapsed="false">
      <c r="A15" s="8" t="s">
        <v>313</v>
      </c>
      <c r="B15" s="56" t="n">
        <f aca="false">'Costos Fijos y Variables'!$C$39</f>
        <v>32.5</v>
      </c>
      <c r="C15" s="56" t="n">
        <f aca="false">'Costos Fijos y Variables'!$C$39</f>
        <v>32.5</v>
      </c>
      <c r="D15" s="56" t="n">
        <f aca="false">'Costos Fijos y Variables'!$C$39</f>
        <v>32.5</v>
      </c>
    </row>
    <row r="16" customFormat="false" ht="15" hidden="false" customHeight="true" outlineLevel="0" collapsed="false">
      <c r="A16" s="8" t="s">
        <v>314</v>
      </c>
      <c r="B16" s="75" t="n">
        <f aca="false">B7+B8+B9+B10+B11+B12+B13+B14+B15</f>
        <v>5264.606</v>
      </c>
      <c r="C16" s="75" t="n">
        <f aca="false">C7+C8+C9+C10+C11+C12+C13+C14+C15</f>
        <v>9804.712</v>
      </c>
      <c r="D16" s="75" t="n">
        <f aca="false">D7+D8+D9+D10+D11+D12+D13+D14+D15</f>
        <v>14344.818</v>
      </c>
    </row>
    <row r="17" customFormat="false" ht="15" hidden="false" customHeight="true" outlineLevel="0" collapsed="false">
      <c r="A17" s="8" t="s">
        <v>315</v>
      </c>
      <c r="B17" s="56" t="n">
        <f aca="false">'Costos Fijos y Variables'!$C$43</f>
        <v>1800</v>
      </c>
      <c r="C17" s="56" t="n">
        <f aca="false">'Costos Fijos y Variables'!$C$43</f>
        <v>1800</v>
      </c>
      <c r="D17" s="56" t="n">
        <f aca="false">'Costos Fijos y Variables'!$C$43</f>
        <v>1800</v>
      </c>
    </row>
    <row r="18" customFormat="false" ht="15" hidden="false" customHeight="true" outlineLevel="0" collapsed="false">
      <c r="A18" s="8" t="s">
        <v>316</v>
      </c>
      <c r="B18" s="56" t="n">
        <f aca="false">'Costos Fijos y Variables'!$B$6</f>
        <v>11000</v>
      </c>
      <c r="C18" s="16" t="n">
        <v>20000</v>
      </c>
      <c r="D18" s="16" t="n">
        <v>28000</v>
      </c>
    </row>
    <row r="19" customFormat="false" ht="15" hidden="false" customHeight="true" outlineLevel="0" collapsed="false">
      <c r="A19" s="8" t="s">
        <v>317</v>
      </c>
      <c r="B19" s="48" t="n">
        <v>0</v>
      </c>
      <c r="C19" s="48" t="n">
        <f aca="false">1-(C18/(2*B18))</f>
        <v>0.0909090909090909</v>
      </c>
      <c r="D19" s="48" t="n">
        <f aca="false">1-(D18/(3*B18))</f>
        <v>0.151515151515152</v>
      </c>
    </row>
    <row r="20" customFormat="false" ht="15" hidden="false" customHeight="true" outlineLevel="0" collapsed="false">
      <c r="A20" s="8" t="s">
        <v>318</v>
      </c>
      <c r="B20" s="56" t="n">
        <f aca="false">B18*'Costos Fijos y Variables'!$C$44</f>
        <v>652.3</v>
      </c>
      <c r="C20" s="56" t="n">
        <f aca="false">C18*'Costos Fijos y Variables'!$C$44</f>
        <v>1186</v>
      </c>
      <c r="D20" s="56" t="n">
        <f aca="false">D18*'Costos Fijos y Variables'!$C$44</f>
        <v>1660.4</v>
      </c>
    </row>
    <row r="21" customFormat="false" ht="15" hidden="false" customHeight="true" outlineLevel="0" collapsed="false">
      <c r="A21" s="31" t="s">
        <v>319</v>
      </c>
      <c r="B21" s="50" t="n">
        <f aca="false">B16+B20</f>
        <v>5916.906</v>
      </c>
      <c r="C21" s="50" t="n">
        <f aca="false">C16+C20</f>
        <v>10990.712</v>
      </c>
      <c r="D21" s="50" t="n">
        <f aca="false">D16+D20</f>
        <v>16005.218</v>
      </c>
    </row>
    <row r="22" customFormat="false" ht="15" hidden="false" customHeight="true" outlineLevel="0" collapsed="false">
      <c r="A22" s="63" t="s">
        <v>320</v>
      </c>
      <c r="B22" s="65" t="n">
        <f aca="false">B18-B21</f>
        <v>5083.094</v>
      </c>
      <c r="C22" s="65" t="n">
        <f aca="false">C18-C21</f>
        <v>9009.288</v>
      </c>
      <c r="D22" s="65" t="n">
        <f aca="false">D18-D21</f>
        <v>11994.782</v>
      </c>
    </row>
    <row r="23" customFormat="false" ht="15" hidden="false" customHeight="true" outlineLevel="0" collapsed="false">
      <c r="A23" s="8" t="s">
        <v>30</v>
      </c>
      <c r="B23" s="76" t="n">
        <f aca="false">B22/B18</f>
        <v>0.462099454545455</v>
      </c>
      <c r="C23" s="76" t="n">
        <f aca="false">C22/C18</f>
        <v>0.4504644</v>
      </c>
      <c r="D23" s="76" t="n">
        <f aca="false">D22/D18</f>
        <v>0.428385071428571</v>
      </c>
    </row>
    <row r="25" customFormat="false" ht="15" hidden="false" customHeight="true" outlineLevel="0" collapsed="false">
      <c r="A25" s="8" t="s">
        <v>321</v>
      </c>
      <c r="B25" s="77" t="n">
        <f aca="false">B17/B18</f>
        <v>0.163636363636364</v>
      </c>
      <c r="C25" s="77" t="n">
        <f aca="false">C17/C18</f>
        <v>0.09</v>
      </c>
      <c r="D25" s="77" t="n">
        <f aca="false">D17/D18</f>
        <v>0.0642857142857143</v>
      </c>
    </row>
    <row r="27" customFormat="false" ht="75" hidden="false" customHeight="true" outlineLevel="0" collapsed="false">
      <c r="A27" s="41" t="s">
        <v>322</v>
      </c>
      <c r="B27" s="41"/>
      <c r="C27" s="41"/>
      <c r="D27" s="41"/>
    </row>
  </sheetData>
  <mergeCells count="4">
    <mergeCell ref="A1:D1"/>
    <mergeCell ref="A2:D2"/>
    <mergeCell ref="A4:D4"/>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50"/>
  </cols>
  <sheetData>
    <row r="1" customFormat="false" ht="27.75" hidden="false" customHeight="true" outlineLevel="0" collapsed="false">
      <c r="A1" s="2" t="s">
        <v>323</v>
      </c>
      <c r="B1" s="2"/>
      <c r="C1" s="2"/>
    </row>
    <row r="2" customFormat="false" ht="18" hidden="false" customHeight="true" outlineLevel="0" collapsed="false">
      <c r="A2" s="3" t="s">
        <v>324</v>
      </c>
      <c r="B2" s="3"/>
      <c r="C2" s="3"/>
    </row>
    <row r="4" customFormat="false" ht="19.5" hidden="false" customHeight="true" outlineLevel="0" collapsed="false">
      <c r="A4" s="4" t="s">
        <v>325</v>
      </c>
      <c r="B4" s="4"/>
      <c r="C4" s="4"/>
    </row>
    <row r="5" customFormat="false" ht="15" hidden="false" customHeight="true" outlineLevel="0" collapsed="false">
      <c r="A5" s="7" t="s">
        <v>183</v>
      </c>
      <c r="B5" s="7" t="s">
        <v>326</v>
      </c>
      <c r="C5" s="7" t="s">
        <v>188</v>
      </c>
    </row>
    <row r="6" customFormat="false" ht="30" hidden="false" customHeight="true" outlineLevel="0" collapsed="false">
      <c r="A6" s="8" t="s">
        <v>327</v>
      </c>
      <c r="B6" s="16" t="n">
        <v>180000</v>
      </c>
      <c r="C6" s="49" t="s">
        <v>328</v>
      </c>
    </row>
    <row r="7" customFormat="false" ht="30" hidden="false" customHeight="true" outlineLevel="0" collapsed="false">
      <c r="A7" s="8" t="s">
        <v>329</v>
      </c>
      <c r="B7" s="16" t="n">
        <v>350000</v>
      </c>
      <c r="C7" s="49" t="s">
        <v>330</v>
      </c>
    </row>
    <row r="8" customFormat="false" ht="30" hidden="false" customHeight="true" outlineLevel="0" collapsed="false">
      <c r="A8" s="8" t="s">
        <v>331</v>
      </c>
      <c r="B8" s="16" t="n">
        <v>250000</v>
      </c>
      <c r="C8" s="49" t="s">
        <v>332</v>
      </c>
    </row>
    <row r="9" customFormat="false" ht="30" hidden="false" customHeight="true" outlineLevel="0" collapsed="false">
      <c r="A9" s="8" t="s">
        <v>333</v>
      </c>
      <c r="B9" s="16" t="n">
        <v>120000</v>
      </c>
      <c r="C9" s="49" t="s">
        <v>334</v>
      </c>
    </row>
    <row r="10" customFormat="false" ht="30" hidden="false" customHeight="true" outlineLevel="0" collapsed="false">
      <c r="A10" s="8" t="s">
        <v>335</v>
      </c>
      <c r="B10" s="16" t="n">
        <v>8500</v>
      </c>
      <c r="C10" s="49" t="s">
        <v>336</v>
      </c>
    </row>
    <row r="11" customFormat="false" ht="39.75" hidden="false" customHeight="true" outlineLevel="0" collapsed="false">
      <c r="A11" s="8" t="s">
        <v>337</v>
      </c>
      <c r="B11" s="56" t="n">
        <f aca="false">500*('Costeo por Barrita'!$B$73+'Costeo por Barrita'!$B$73*'Costos Fijos y Variables'!$C$27+'Costos Fijos y Variables'!$C$28+'Costos Fijos y Variables'!$C$29/'Costos Fijos y Variables'!$C$30+'Costos Fijos y Variables'!$C$35+'Costos Fijos y Variables'!$C$36)</f>
        <v>2500053</v>
      </c>
      <c r="C11" s="49" t="s">
        <v>338</v>
      </c>
    </row>
    <row r="12" customFormat="false" ht="30" hidden="false" customHeight="true" outlineLevel="0" collapsed="false">
      <c r="A12" s="8" t="s">
        <v>339</v>
      </c>
      <c r="B12" s="16" t="n">
        <v>220000</v>
      </c>
      <c r="C12" s="49" t="s">
        <v>340</v>
      </c>
    </row>
    <row r="13" customFormat="false" ht="30" hidden="false" customHeight="true" outlineLevel="0" collapsed="false">
      <c r="A13" s="8" t="s">
        <v>341</v>
      </c>
      <c r="B13" s="16" t="n">
        <v>150000</v>
      </c>
      <c r="C13" s="49" t="s">
        <v>342</v>
      </c>
    </row>
    <row r="14" customFormat="false" ht="30" hidden="false" customHeight="true" outlineLevel="0" collapsed="false">
      <c r="A14" s="8" t="s">
        <v>343</v>
      </c>
      <c r="B14" s="16" t="n">
        <v>110000</v>
      </c>
      <c r="C14" s="49" t="s">
        <v>344</v>
      </c>
    </row>
    <row r="15" customFormat="false" ht="30" hidden="false" customHeight="true" outlineLevel="0" collapsed="false">
      <c r="A15" s="8" t="s">
        <v>345</v>
      </c>
      <c r="B15" s="16" t="n">
        <v>300000</v>
      </c>
      <c r="C15" s="49" t="s">
        <v>346</v>
      </c>
    </row>
    <row r="16" customFormat="false" ht="15" hidden="false" customHeight="true" outlineLevel="0" collapsed="false">
      <c r="A16" s="31" t="s">
        <v>347</v>
      </c>
      <c r="B16" s="50" t="n">
        <f aca="false">SUM(B6:B15)</f>
        <v>4188553</v>
      </c>
      <c r="C16" s="32"/>
    </row>
    <row r="18" customFormat="false" ht="19.5" hidden="false" customHeight="true" outlineLevel="0" collapsed="false">
      <c r="A18" s="4" t="s">
        <v>348</v>
      </c>
      <c r="B18" s="4"/>
      <c r="C18" s="4"/>
    </row>
    <row r="19" customFormat="false" ht="15" hidden="false" customHeight="true" outlineLevel="0" collapsed="false">
      <c r="A19" s="7" t="s">
        <v>183</v>
      </c>
      <c r="B19" s="7" t="s">
        <v>260</v>
      </c>
      <c r="C19" s="7" t="s">
        <v>261</v>
      </c>
      <c r="D19" s="7" t="s">
        <v>262</v>
      </c>
      <c r="E19" s="7" t="s">
        <v>263</v>
      </c>
      <c r="F19" s="7" t="s">
        <v>264</v>
      </c>
      <c r="G19" s="7" t="s">
        <v>265</v>
      </c>
      <c r="H19" s="7" t="s">
        <v>349</v>
      </c>
      <c r="I19" s="7" t="s">
        <v>350</v>
      </c>
      <c r="J19" s="7" t="s">
        <v>351</v>
      </c>
      <c r="K19" s="7" t="s">
        <v>352</v>
      </c>
      <c r="L19" s="7" t="s">
        <v>353</v>
      </c>
      <c r="M19" s="7" t="s">
        <v>354</v>
      </c>
    </row>
    <row r="20" customFormat="false" ht="15" hidden="false" customHeight="true" outlineLevel="0" collapsed="false">
      <c r="A20" s="8" t="s">
        <v>266</v>
      </c>
      <c r="B20" s="67" t="n">
        <f aca="false">'Costos Fijos y Variables'!B53</f>
        <v>200</v>
      </c>
      <c r="C20" s="67" t="n">
        <f aca="false">'Costos Fijos y Variables'!C53</f>
        <v>240</v>
      </c>
      <c r="D20" s="67" t="n">
        <f aca="false">'Costos Fijos y Variables'!D53</f>
        <v>288</v>
      </c>
      <c r="E20" s="67" t="n">
        <f aca="false">'Costos Fijos y Variables'!E53</f>
        <v>345.6</v>
      </c>
      <c r="F20" s="67" t="n">
        <f aca="false">'Costos Fijos y Variables'!F53</f>
        <v>414.72</v>
      </c>
      <c r="G20" s="67" t="n">
        <f aca="false">'Costos Fijos y Variables'!G53</f>
        <v>497.664</v>
      </c>
      <c r="H20" s="67" t="n">
        <f aca="false">G20*(1+0.08)</f>
        <v>537.47712</v>
      </c>
      <c r="I20" s="67" t="n">
        <f aca="false">H20*(1+0.08)</f>
        <v>580.4752896</v>
      </c>
      <c r="J20" s="67" t="n">
        <f aca="false">I20*(1+0.08)</f>
        <v>626.913312768</v>
      </c>
      <c r="K20" s="67" t="n">
        <f aca="false">J20*(1+0.08)</f>
        <v>677.06637778944</v>
      </c>
      <c r="L20" s="67" t="n">
        <f aca="false">K20*(1+0.08)</f>
        <v>731.231688012595</v>
      </c>
      <c r="M20" s="67" t="n">
        <f aca="false">L20*(1+0.08)</f>
        <v>789.730223053603</v>
      </c>
    </row>
    <row r="21" customFormat="false" ht="15" hidden="false" customHeight="true" outlineLevel="0" collapsed="false">
      <c r="A21" s="8" t="s">
        <v>355</v>
      </c>
      <c r="B21" s="47" t="n">
        <f aca="false">B20*'Costos Fijos y Variables'!$B$6</f>
        <v>2200000</v>
      </c>
      <c r="C21" s="47" t="n">
        <f aca="false">C20*'Costos Fijos y Variables'!$B$6</f>
        <v>2640000</v>
      </c>
      <c r="D21" s="47" t="n">
        <f aca="false">D20*'Costos Fijos y Variables'!$B$6</f>
        <v>3168000</v>
      </c>
      <c r="E21" s="47" t="n">
        <f aca="false">E20*'Costos Fijos y Variables'!$B$6</f>
        <v>3801600</v>
      </c>
      <c r="F21" s="47" t="n">
        <f aca="false">F20*'Costos Fijos y Variables'!$B$6</f>
        <v>4561920</v>
      </c>
      <c r="G21" s="47" t="n">
        <f aca="false">G20*'Costos Fijos y Variables'!$B$6</f>
        <v>5474304</v>
      </c>
      <c r="H21" s="47" t="n">
        <f aca="false">H20*'Costos Fijos y Variables'!$B$6</f>
        <v>5912248.32</v>
      </c>
      <c r="I21" s="47" t="n">
        <f aca="false">I20*'Costos Fijos y Variables'!$B$6</f>
        <v>6385228.1856</v>
      </c>
      <c r="J21" s="47" t="n">
        <f aca="false">J20*'Costos Fijos y Variables'!$B$6</f>
        <v>6896046.440448</v>
      </c>
      <c r="K21" s="47" t="n">
        <f aca="false">K20*'Costos Fijos y Variables'!$B$6</f>
        <v>7447730.15568384</v>
      </c>
      <c r="L21" s="47" t="n">
        <f aca="false">L20*'Costos Fijos y Variables'!$B$6</f>
        <v>8043548.56813855</v>
      </c>
      <c r="M21" s="47" t="n">
        <f aca="false">M20*'Costos Fijos y Variables'!$B$6</f>
        <v>8687032.45358964</v>
      </c>
    </row>
    <row r="22" customFormat="false" ht="15" hidden="false" customHeight="true" outlineLevel="0" collapsed="false">
      <c r="A22" s="8" t="s">
        <v>356</v>
      </c>
      <c r="B22" s="68" t="n">
        <f aca="false">'Costos Fijos y Variables'!$C$22</f>
        <v>740708.333333333</v>
      </c>
      <c r="C22" s="68" t="n">
        <f aca="false">'Costos Fijos y Variables'!$C$22</f>
        <v>740708.333333333</v>
      </c>
      <c r="D22" s="68" t="n">
        <f aca="false">'Costos Fijos y Variables'!$C$22</f>
        <v>740708.333333333</v>
      </c>
      <c r="E22" s="68" t="n">
        <f aca="false">'Costos Fijos y Variables'!$C$22</f>
        <v>740708.333333333</v>
      </c>
      <c r="F22" s="68" t="n">
        <f aca="false">'Costos Fijos y Variables'!$C$22</f>
        <v>740708.333333333</v>
      </c>
      <c r="G22" s="68" t="n">
        <f aca="false">'Costos Fijos y Variables'!$C$22</f>
        <v>740708.333333333</v>
      </c>
      <c r="H22" s="68" t="n">
        <f aca="false">'Costos Fijos y Variables'!$C$22</f>
        <v>740708.333333333</v>
      </c>
      <c r="I22" s="68" t="n">
        <f aca="false">'Costos Fijos y Variables'!$C$22</f>
        <v>740708.333333333</v>
      </c>
      <c r="J22" s="68" t="n">
        <f aca="false">'Costos Fijos y Variables'!$C$22</f>
        <v>740708.333333333</v>
      </c>
      <c r="K22" s="68" t="n">
        <f aca="false">'Costos Fijos y Variables'!$C$22</f>
        <v>740708.333333333</v>
      </c>
      <c r="L22" s="68" t="n">
        <f aca="false">'Costos Fijos y Variables'!$C$22</f>
        <v>740708.333333333</v>
      </c>
      <c r="M22" s="68" t="n">
        <f aca="false">'Costos Fijos y Variables'!$C$22</f>
        <v>740708.333333333</v>
      </c>
    </row>
    <row r="23" customFormat="false" ht="15" hidden="false" customHeight="true" outlineLevel="0" collapsed="false">
      <c r="A23" s="8" t="s">
        <v>357</v>
      </c>
      <c r="B23" s="69" t="n">
        <f aca="false">B20*('Costeo por Barrita'!$B$73+'Costeo por Barrita'!$B$73*'Costos Fijos y Variables'!$C$27+'Costos Fijos y Variables'!$C$28+'Costos Fijos y Variables'!$C$29/'Costos Fijos y Variables'!$C$30+'Costos Fijos y Variables'!$C$35+'Costos Fijos y Variables'!$C$36)</f>
        <v>1000021.2</v>
      </c>
      <c r="C23" s="69" t="n">
        <f aca="false">C20*('Costeo por Barrita'!$B$73+'Costeo por Barrita'!$B$73*'Costos Fijos y Variables'!$C$27+'Costos Fijos y Variables'!$C$28+'Costos Fijos y Variables'!$C$29/'Costos Fijos y Variables'!$C$30+'Costos Fijos y Variables'!$C$35+'Costos Fijos y Variables'!$C$36)</f>
        <v>1200025.44</v>
      </c>
      <c r="D23" s="69" t="n">
        <f aca="false">D20*('Costeo por Barrita'!$B$73+'Costeo por Barrita'!$B$73*'Costos Fijos y Variables'!$C$27+'Costos Fijos y Variables'!$C$28+'Costos Fijos y Variables'!$C$29/'Costos Fijos y Variables'!$C$30+'Costos Fijos y Variables'!$C$35+'Costos Fijos y Variables'!$C$36)</f>
        <v>1440030.528</v>
      </c>
      <c r="E23" s="69" t="n">
        <f aca="false">E20*('Costeo por Barrita'!$B$73+'Costeo por Barrita'!$B$73*'Costos Fijos y Variables'!$C$27+'Costos Fijos y Variables'!$C$28+'Costos Fijos y Variables'!$C$29/'Costos Fijos y Variables'!$C$30+'Costos Fijos y Variables'!$C$35+'Costos Fijos y Variables'!$C$36)</f>
        <v>1728036.6336</v>
      </c>
      <c r="F23" s="69" t="n">
        <f aca="false">F20*('Costeo por Barrita'!$B$73+'Costeo por Barrita'!$B$73*'Costos Fijos y Variables'!$C$27+'Costos Fijos y Variables'!$C$28+'Costos Fijos y Variables'!$C$29/'Costos Fijos y Variables'!$C$30+'Costos Fijos y Variables'!$C$35+'Costos Fijos y Variables'!$C$36)</f>
        <v>2073643.96032</v>
      </c>
      <c r="G23" s="69" t="n">
        <f aca="false">G20*('Costeo por Barrita'!$B$73+'Costeo por Barrita'!$B$73*'Costos Fijos y Variables'!$C$27+'Costos Fijos y Variables'!$C$28+'Costos Fijos y Variables'!$C$29/'Costos Fijos y Variables'!$C$30+'Costos Fijos y Variables'!$C$35+'Costos Fijos y Variables'!$C$36)</f>
        <v>2488372.752384</v>
      </c>
      <c r="H23" s="69" t="n">
        <f aca="false">H20*('Costeo por Barrita'!$B$73+'Costeo por Barrita'!$B$73*'Costos Fijos y Variables'!$C$27+'Costos Fijos y Variables'!$C$28+'Costos Fijos y Variables'!$C$29/'Costos Fijos y Variables'!$C$30+'Costos Fijos y Variables'!$C$35+'Costos Fijos y Variables'!$C$36)</f>
        <v>2687442.57257472</v>
      </c>
      <c r="I23" s="69" t="n">
        <f aca="false">I20*('Costeo por Barrita'!$B$73+'Costeo por Barrita'!$B$73*'Costos Fijos y Variables'!$C$27+'Costos Fijos y Variables'!$C$28+'Costos Fijos y Variables'!$C$29/'Costos Fijos y Variables'!$C$30+'Costos Fijos y Variables'!$C$35+'Costos Fijos y Variables'!$C$36)</f>
        <v>2902437.9783807</v>
      </c>
      <c r="J23" s="69" t="n">
        <f aca="false">J20*('Costeo por Barrita'!$B$73+'Costeo por Barrita'!$B$73*'Costos Fijos y Variables'!$C$27+'Costos Fijos y Variables'!$C$28+'Costos Fijos y Variables'!$C$29/'Costos Fijos y Variables'!$C$30+'Costos Fijos y Variables'!$C$35+'Costos Fijos y Variables'!$C$36)</f>
        <v>3134633.01665115</v>
      </c>
      <c r="K23" s="69" t="n">
        <f aca="false">K20*('Costeo por Barrita'!$B$73+'Costeo por Barrita'!$B$73*'Costos Fijos y Variables'!$C$27+'Costos Fijos y Variables'!$C$28+'Costos Fijos y Variables'!$C$29/'Costos Fijos y Variables'!$C$30+'Costos Fijos y Variables'!$C$35+'Costos Fijos y Variables'!$C$36)</f>
        <v>3385403.65798325</v>
      </c>
      <c r="L23" s="69" t="n">
        <f aca="false">L20*('Costeo por Barrita'!$B$73+'Costeo por Barrita'!$B$73*'Costos Fijos y Variables'!$C$27+'Costos Fijos y Variables'!$C$28+'Costos Fijos y Variables'!$C$29/'Costos Fijos y Variables'!$C$30+'Costos Fijos y Variables'!$C$35+'Costos Fijos y Variables'!$C$36)</f>
        <v>3656235.95062191</v>
      </c>
      <c r="M23" s="69" t="n">
        <f aca="false">M20*('Costeo por Barrita'!$B$73+'Costeo por Barrita'!$B$73*'Costos Fijos y Variables'!$C$27+'Costos Fijos y Variables'!$C$28+'Costos Fijos y Variables'!$C$29/'Costos Fijos y Variables'!$C$30+'Costos Fijos y Variables'!$C$35+'Costos Fijos y Variables'!$C$36)</f>
        <v>3948734.82667166</v>
      </c>
    </row>
    <row r="24" customFormat="false" ht="15" hidden="false" customHeight="true" outlineLevel="0" collapsed="false">
      <c r="A24" s="8" t="s">
        <v>358</v>
      </c>
      <c r="B24" s="60" t="n">
        <v>0</v>
      </c>
      <c r="C24" s="60" t="n">
        <v>0</v>
      </c>
      <c r="D24" s="60" t="n">
        <v>0</v>
      </c>
      <c r="E24" s="60" t="n">
        <v>0</v>
      </c>
      <c r="F24" s="60" t="n">
        <v>0</v>
      </c>
      <c r="G24" s="60" t="n">
        <v>0</v>
      </c>
      <c r="H24" s="60" t="n">
        <v>0</v>
      </c>
      <c r="I24" s="60" t="n">
        <v>0</v>
      </c>
      <c r="J24" s="60" t="n">
        <v>0</v>
      </c>
      <c r="K24" s="60" t="n">
        <v>0</v>
      </c>
      <c r="L24" s="60" t="n">
        <v>0</v>
      </c>
      <c r="M24" s="60" t="n">
        <v>0</v>
      </c>
    </row>
    <row r="25" customFormat="false" ht="15" hidden="false" customHeight="true" outlineLevel="0" collapsed="false">
      <c r="A25" s="8" t="s">
        <v>359</v>
      </c>
      <c r="B25" s="69" t="n">
        <f aca="false">B20*('Costos Fijos y Variables'!$C$37+'Costos Fijos y Variables'!$C$38+'Costos Fijos y Variables'!$C$39)</f>
        <v>52900</v>
      </c>
      <c r="C25" s="69" t="n">
        <f aca="false">C20*('Costos Fijos y Variables'!$C$37+'Costos Fijos y Variables'!$C$38+'Costos Fijos y Variables'!$C$39)</f>
        <v>63480</v>
      </c>
      <c r="D25" s="69" t="n">
        <f aca="false">D20*('Costos Fijos y Variables'!$C$37+'Costos Fijos y Variables'!$C$38+'Costos Fijos y Variables'!$C$39)</f>
        <v>76176</v>
      </c>
      <c r="E25" s="69" t="n">
        <f aca="false">E20*('Costos Fijos y Variables'!$C$37+'Costos Fijos y Variables'!$C$38+'Costos Fijos y Variables'!$C$39)</f>
        <v>91411.2</v>
      </c>
      <c r="F25" s="69" t="n">
        <f aca="false">F20*('Costos Fijos y Variables'!$C$37+'Costos Fijos y Variables'!$C$38+'Costos Fijos y Variables'!$C$39)</f>
        <v>109693.44</v>
      </c>
      <c r="G25" s="69" t="n">
        <f aca="false">G20*('Costos Fijos y Variables'!$C$37+'Costos Fijos y Variables'!$C$38+'Costos Fijos y Variables'!$C$39)</f>
        <v>131632.128</v>
      </c>
      <c r="H25" s="69" t="n">
        <f aca="false">H20*('Costos Fijos y Variables'!$C$37+'Costos Fijos y Variables'!$C$38+'Costos Fijos y Variables'!$C$39)</f>
        <v>142162.69824</v>
      </c>
      <c r="I25" s="69" t="n">
        <f aca="false">I20*('Costos Fijos y Variables'!$C$37+'Costos Fijos y Variables'!$C$38+'Costos Fijos y Variables'!$C$39)</f>
        <v>153535.7140992</v>
      </c>
      <c r="J25" s="69" t="n">
        <f aca="false">J20*('Costos Fijos y Variables'!$C$37+'Costos Fijos y Variables'!$C$38+'Costos Fijos y Variables'!$C$39)</f>
        <v>165818.571227136</v>
      </c>
      <c r="K25" s="69" t="n">
        <f aca="false">K20*('Costos Fijos y Variables'!$C$37+'Costos Fijos y Variables'!$C$38+'Costos Fijos y Variables'!$C$39)</f>
        <v>179084.056925307</v>
      </c>
      <c r="L25" s="69" t="n">
        <f aca="false">L20*('Costos Fijos y Variables'!$C$37+'Costos Fijos y Variables'!$C$38+'Costos Fijos y Variables'!$C$39)</f>
        <v>193410.781479332</v>
      </c>
      <c r="M25" s="69" t="n">
        <f aca="false">M20*('Costos Fijos y Variables'!$C$37+'Costos Fijos y Variables'!$C$38+'Costos Fijos y Variables'!$C$39)</f>
        <v>208883.643997678</v>
      </c>
    </row>
    <row r="26" customFormat="false" ht="15" hidden="false" customHeight="true" outlineLevel="0" collapsed="false">
      <c r="A26" s="8" t="s">
        <v>360</v>
      </c>
      <c r="B26" s="69" t="n">
        <f aca="false">B21*'Costos Fijos y Variables'!$C$44</f>
        <v>130460</v>
      </c>
      <c r="C26" s="69" t="n">
        <f aca="false">C21*'Costos Fijos y Variables'!$C$44</f>
        <v>156552</v>
      </c>
      <c r="D26" s="69" t="n">
        <f aca="false">D21*'Costos Fijos y Variables'!$C$44</f>
        <v>187862.4</v>
      </c>
      <c r="E26" s="69" t="n">
        <f aca="false">E21*'Costos Fijos y Variables'!$C$44</f>
        <v>225434.88</v>
      </c>
      <c r="F26" s="69" t="n">
        <f aca="false">F21*'Costos Fijos y Variables'!$C$44</f>
        <v>270521.856</v>
      </c>
      <c r="G26" s="69" t="n">
        <f aca="false">G21*'Costos Fijos y Variables'!$C$44</f>
        <v>324626.2272</v>
      </c>
      <c r="H26" s="69" t="n">
        <f aca="false">H21*'Costos Fijos y Variables'!$C$44</f>
        <v>350596.325376</v>
      </c>
      <c r="I26" s="69" t="n">
        <f aca="false">I21*'Costos Fijos y Variables'!$C$44</f>
        <v>378644.03140608</v>
      </c>
      <c r="J26" s="69" t="n">
        <f aca="false">J21*'Costos Fijos y Variables'!$C$44</f>
        <v>408935.553918566</v>
      </c>
      <c r="K26" s="69" t="n">
        <f aca="false">K21*'Costos Fijos y Variables'!$C$44</f>
        <v>441650.398232052</v>
      </c>
      <c r="L26" s="69" t="n">
        <f aca="false">L21*'Costos Fijos y Variables'!$C$44</f>
        <v>476982.430090616</v>
      </c>
      <c r="M26" s="69" t="n">
        <f aca="false">M21*'Costos Fijos y Variables'!$C$44</f>
        <v>515141.024497865</v>
      </c>
    </row>
    <row r="27" customFormat="false" ht="15" hidden="false" customHeight="true" outlineLevel="0" collapsed="false">
      <c r="A27" s="8" t="s">
        <v>361</v>
      </c>
      <c r="B27" s="16" t="n">
        <v>40000</v>
      </c>
      <c r="C27" s="16" t="n">
        <v>40000</v>
      </c>
      <c r="D27" s="16" t="n">
        <v>40000</v>
      </c>
      <c r="E27" s="16" t="n">
        <v>40000</v>
      </c>
      <c r="F27" s="16" t="n">
        <v>40000</v>
      </c>
      <c r="G27" s="16" t="n">
        <v>40000</v>
      </c>
      <c r="H27" s="16" t="n">
        <v>40000</v>
      </c>
      <c r="I27" s="16" t="n">
        <v>40000</v>
      </c>
      <c r="J27" s="16" t="n">
        <v>40000</v>
      </c>
      <c r="K27" s="16" t="n">
        <v>40000</v>
      </c>
      <c r="L27" s="16" t="n">
        <v>40000</v>
      </c>
      <c r="M27" s="16" t="n">
        <v>40000</v>
      </c>
    </row>
    <row r="28" customFormat="false" ht="15" hidden="false" customHeight="true" outlineLevel="0" collapsed="false">
      <c r="A28" s="8" t="s">
        <v>362</v>
      </c>
      <c r="B28" s="78" t="n">
        <f aca="false">B21*'Escenarios de Precio'!$B$8</f>
        <v>99000</v>
      </c>
      <c r="C28" s="78" t="n">
        <f aca="false">C21*'Escenarios de Precio'!$B$8</f>
        <v>118800</v>
      </c>
      <c r="D28" s="78" t="n">
        <f aca="false">D21*'Escenarios de Precio'!$B$8</f>
        <v>142560</v>
      </c>
      <c r="E28" s="78" t="n">
        <f aca="false">E21*'Escenarios de Precio'!$B$8</f>
        <v>171072</v>
      </c>
      <c r="F28" s="78" t="n">
        <f aca="false">F21*'Escenarios de Precio'!$B$8</f>
        <v>205286.4</v>
      </c>
      <c r="G28" s="78" t="n">
        <f aca="false">G21*'Escenarios de Precio'!$B$8</f>
        <v>246343.68</v>
      </c>
      <c r="H28" s="78" t="n">
        <f aca="false">H21*'Escenarios de Precio'!$B$8</f>
        <v>266051.1744</v>
      </c>
      <c r="I28" s="78" t="n">
        <f aca="false">I21*'Escenarios de Precio'!$B$8</f>
        <v>287335.268352</v>
      </c>
      <c r="J28" s="78" t="n">
        <f aca="false">J21*'Escenarios de Precio'!$B$8</f>
        <v>310322.08982016</v>
      </c>
      <c r="K28" s="78" t="n">
        <f aca="false">K21*'Escenarios de Precio'!$B$8</f>
        <v>335147.857005773</v>
      </c>
      <c r="L28" s="78" t="n">
        <f aca="false">L21*'Escenarios de Precio'!$B$8</f>
        <v>361959.685566235</v>
      </c>
      <c r="M28" s="78" t="n">
        <f aca="false">M21*'Escenarios de Precio'!$B$8</f>
        <v>390916.460411534</v>
      </c>
    </row>
    <row r="29" customFormat="false" ht="15" hidden="false" customHeight="true" outlineLevel="0" collapsed="false">
      <c r="A29" s="8" t="s">
        <v>363</v>
      </c>
      <c r="B29" s="78" t="n">
        <f aca="false">B21*'Escenarios de Precio'!$B$9</f>
        <v>99000</v>
      </c>
      <c r="C29" s="78" t="n">
        <f aca="false">C21*'Escenarios de Precio'!$B$9</f>
        <v>118800</v>
      </c>
      <c r="D29" s="78" t="n">
        <f aca="false">D21*'Escenarios de Precio'!$B$9</f>
        <v>142560</v>
      </c>
      <c r="E29" s="78" t="n">
        <f aca="false">E21*'Escenarios de Precio'!$B$9</f>
        <v>171072</v>
      </c>
      <c r="F29" s="78" t="n">
        <f aca="false">F21*'Escenarios de Precio'!$B$9</f>
        <v>205286.4</v>
      </c>
      <c r="G29" s="78" t="n">
        <f aca="false">G21*'Escenarios de Precio'!$B$9</f>
        <v>246343.68</v>
      </c>
      <c r="H29" s="78" t="n">
        <f aca="false">H21*'Escenarios de Precio'!$B$9</f>
        <v>266051.1744</v>
      </c>
      <c r="I29" s="78" t="n">
        <f aca="false">I21*'Escenarios de Precio'!$B$9</f>
        <v>287335.268352</v>
      </c>
      <c r="J29" s="78" t="n">
        <f aca="false">J21*'Escenarios de Precio'!$B$9</f>
        <v>310322.08982016</v>
      </c>
      <c r="K29" s="78" t="n">
        <f aca="false">K21*'Escenarios de Precio'!$B$9</f>
        <v>335147.857005773</v>
      </c>
      <c r="L29" s="78" t="n">
        <f aca="false">L21*'Escenarios de Precio'!$B$9</f>
        <v>361959.685566235</v>
      </c>
      <c r="M29" s="78" t="n">
        <f aca="false">M21*'Escenarios de Precio'!$B$9</f>
        <v>390916.460411534</v>
      </c>
    </row>
    <row r="30" customFormat="false" ht="15" hidden="false" customHeight="true" outlineLevel="0" collapsed="false">
      <c r="A30" s="8" t="s">
        <v>364</v>
      </c>
      <c r="B30" s="78" t="n">
        <f aca="false">B21*'Escenarios de Precio'!$B$10</f>
        <v>132000</v>
      </c>
      <c r="C30" s="78" t="n">
        <f aca="false">C21*'Escenarios de Precio'!$B$10</f>
        <v>158400</v>
      </c>
      <c r="D30" s="78" t="n">
        <f aca="false">D21*'Escenarios de Precio'!$B$10</f>
        <v>190080</v>
      </c>
      <c r="E30" s="78" t="n">
        <f aca="false">E21*'Escenarios de Precio'!$B$10</f>
        <v>228096</v>
      </c>
      <c r="F30" s="78" t="n">
        <f aca="false">F21*'Escenarios de Precio'!$B$10</f>
        <v>273715.2</v>
      </c>
      <c r="G30" s="78" t="n">
        <f aca="false">G21*'Escenarios de Precio'!$B$10</f>
        <v>328458.24</v>
      </c>
      <c r="H30" s="78" t="n">
        <f aca="false">H21*'Escenarios de Precio'!$B$10</f>
        <v>354734.8992</v>
      </c>
      <c r="I30" s="78" t="n">
        <f aca="false">I21*'Escenarios de Precio'!$B$10</f>
        <v>383113.691136</v>
      </c>
      <c r="J30" s="78" t="n">
        <f aca="false">J21*'Escenarios de Precio'!$B$10</f>
        <v>413762.78642688</v>
      </c>
      <c r="K30" s="78" t="n">
        <f aca="false">K21*'Escenarios de Precio'!$B$10</f>
        <v>446863.809341031</v>
      </c>
      <c r="L30" s="78" t="n">
        <f aca="false">L21*'Escenarios de Precio'!$B$10</f>
        <v>482612.914088313</v>
      </c>
      <c r="M30" s="78" t="n">
        <f aca="false">M21*'Escenarios de Precio'!$B$10</f>
        <v>521221.947215378</v>
      </c>
    </row>
    <row r="31" customFormat="false" ht="15" hidden="false" customHeight="true" outlineLevel="0" collapsed="false">
      <c r="A31" s="5" t="s">
        <v>365</v>
      </c>
      <c r="B31" s="79" t="n">
        <f aca="false">B28+B29+B30</f>
        <v>330000</v>
      </c>
      <c r="C31" s="79" t="n">
        <f aca="false">C28+C29+C30</f>
        <v>396000</v>
      </c>
      <c r="D31" s="79" t="n">
        <f aca="false">D28+D29+D30</f>
        <v>475200</v>
      </c>
      <c r="E31" s="79" t="n">
        <f aca="false">E28+E29+E30</f>
        <v>570240</v>
      </c>
      <c r="F31" s="79" t="n">
        <f aca="false">F28+F29+F30</f>
        <v>684288</v>
      </c>
      <c r="G31" s="79" t="n">
        <f aca="false">G28+G29+G30</f>
        <v>821145.6</v>
      </c>
      <c r="H31" s="79" t="n">
        <f aca="false">H28+H29+H30</f>
        <v>886837.248</v>
      </c>
      <c r="I31" s="79" t="n">
        <f aca="false">I28+I29+I30</f>
        <v>957784.22784</v>
      </c>
      <c r="J31" s="79" t="n">
        <f aca="false">J28+J29+J30</f>
        <v>1034406.9660672</v>
      </c>
      <c r="K31" s="79" t="n">
        <f aca="false">K28+K29+K30</f>
        <v>1117159.52335258</v>
      </c>
      <c r="L31" s="79" t="n">
        <f aca="false">L28+L29+L30</f>
        <v>1206532.28522078</v>
      </c>
      <c r="M31" s="79" t="n">
        <f aca="false">M28+M29+M30</f>
        <v>1303054.86803845</v>
      </c>
    </row>
    <row r="32" customFormat="false" ht="15" hidden="false" customHeight="true" outlineLevel="0" collapsed="false">
      <c r="A32" s="5" t="s">
        <v>366</v>
      </c>
      <c r="B32" s="50" t="n">
        <f aca="false">B22+B23+B24+B25+B26+B27+B31</f>
        <v>2294089.53333333</v>
      </c>
      <c r="C32" s="50" t="n">
        <f aca="false">C22+C23+C24+C25+C26+C27+C31</f>
        <v>2596765.77333333</v>
      </c>
      <c r="D32" s="50" t="n">
        <f aca="false">D22+D23+D24+D25+D26+D27+D31</f>
        <v>2959977.26133333</v>
      </c>
      <c r="E32" s="50" t="n">
        <f aca="false">E22+E23+E24+E25+E26+E27+E31</f>
        <v>3395831.04693333</v>
      </c>
      <c r="F32" s="50" t="n">
        <f aca="false">F22+F23+F24+F25+F26+F27+F31</f>
        <v>3918855.58965333</v>
      </c>
      <c r="G32" s="50" t="n">
        <f aca="false">G22+G23+G24+G25+G26+G27+G31</f>
        <v>4546485.04091733</v>
      </c>
      <c r="H32" s="50" t="n">
        <f aca="false">H22+H23+H24+H25+H26+H27+H31</f>
        <v>4847747.17752405</v>
      </c>
      <c r="I32" s="50" t="n">
        <f aca="false">I22+I23+I24+I25+I26+I27+I31</f>
        <v>5173110.28505931</v>
      </c>
      <c r="J32" s="50" t="n">
        <f aca="false">J22+J23+J24+J25+J26+J27+J31</f>
        <v>5524502.44119739</v>
      </c>
      <c r="K32" s="50" t="n">
        <f aca="false">K22+K23+K24+K25+K26+K27+K31</f>
        <v>5904005.96982652</v>
      </c>
      <c r="L32" s="50" t="n">
        <f aca="false">L22+L23+L24+L25+L26+L27+L31</f>
        <v>6313869.78074597</v>
      </c>
      <c r="M32" s="50" t="n">
        <f aca="false">M22+M23+M24+M25+M26+M27+M31</f>
        <v>6756522.69653898</v>
      </c>
    </row>
    <row r="33" customFormat="false" ht="15" hidden="false" customHeight="true" outlineLevel="0" collapsed="false">
      <c r="A33" s="5" t="s">
        <v>367</v>
      </c>
      <c r="B33" s="65" t="n">
        <f aca="false">B21-B32</f>
        <v>-94089.5333333332</v>
      </c>
      <c r="C33" s="65" t="n">
        <f aca="false">C21-C32</f>
        <v>43234.2266666666</v>
      </c>
      <c r="D33" s="65" t="n">
        <f aca="false">D21-D32</f>
        <v>208022.738666667</v>
      </c>
      <c r="E33" s="65" t="n">
        <f aca="false">E21-E32</f>
        <v>405768.953066666</v>
      </c>
      <c r="F33" s="65" t="n">
        <f aca="false">F21-F32</f>
        <v>643064.410346667</v>
      </c>
      <c r="G33" s="65" t="n">
        <f aca="false">G21-G32</f>
        <v>927818.959082666</v>
      </c>
      <c r="H33" s="65" t="n">
        <f aca="false">H21-H32</f>
        <v>1064501.14247595</v>
      </c>
      <c r="I33" s="65" t="n">
        <f aca="false">I21-I32</f>
        <v>1212117.90054069</v>
      </c>
      <c r="J33" s="65" t="n">
        <f aca="false">J21-J32</f>
        <v>1371543.99925061</v>
      </c>
      <c r="K33" s="65" t="n">
        <f aca="false">K21-K32</f>
        <v>1543724.18585733</v>
      </c>
      <c r="L33" s="65" t="n">
        <f aca="false">L21-L32</f>
        <v>1729678.78739258</v>
      </c>
      <c r="M33" s="65" t="n">
        <f aca="false">M21-M32</f>
        <v>1930509.75705065</v>
      </c>
    </row>
    <row r="35" customFormat="false" ht="15" hidden="false" customHeight="true" outlineLevel="0" collapsed="false">
      <c r="A35" s="14" t="s">
        <v>368</v>
      </c>
    </row>
    <row r="36" customFormat="false" ht="15" hidden="false" customHeight="true" outlineLevel="0" collapsed="false">
      <c r="A36" s="20" t="s">
        <v>369</v>
      </c>
      <c r="B36" s="24" t="n">
        <f aca="false">SUM(B21:M21)</f>
        <v>65217658.12346</v>
      </c>
    </row>
    <row r="37" customFormat="false" ht="15" hidden="false" customHeight="true" outlineLevel="0" collapsed="false">
      <c r="A37" s="20" t="s">
        <v>370</v>
      </c>
      <c r="B37" s="24" t="n">
        <f aca="false">SUM(B32:M32)</f>
        <v>54231762.5963962</v>
      </c>
    </row>
    <row r="38" customFormat="false" ht="15" hidden="false" customHeight="true" outlineLevel="0" collapsed="false">
      <c r="A38" s="20" t="s">
        <v>371</v>
      </c>
      <c r="B38" s="24" t="n">
        <f aca="false">B16</f>
        <v>4188553</v>
      </c>
    </row>
    <row r="39" customFormat="false" ht="15" hidden="false" customHeight="true" outlineLevel="0" collapsed="false">
      <c r="A39" s="80" t="s">
        <v>372</v>
      </c>
      <c r="B39" s="81" t="n">
        <f aca="false">B38+B37</f>
        <v>58420315.5963962</v>
      </c>
      <c r="C39" s="82"/>
    </row>
  </sheetData>
  <mergeCells count="4">
    <mergeCell ref="A1:C1"/>
    <mergeCell ref="A2:C2"/>
    <mergeCell ref="A4:C4"/>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12"/>
    <col collapsed="false" customWidth="true" hidden="false" outlineLevel="0" max="4" min="4" style="1" width="18"/>
    <col collapsed="false" customWidth="true" hidden="false" outlineLevel="0" max="5" min="5" style="1" width="12"/>
  </cols>
  <sheetData>
    <row r="1" customFormat="false" ht="27.75" hidden="false" customHeight="true" outlineLevel="0" collapsed="false">
      <c r="A1" s="2" t="s">
        <v>373</v>
      </c>
      <c r="B1" s="2"/>
      <c r="C1" s="2"/>
      <c r="D1" s="2"/>
      <c r="E1" s="2"/>
    </row>
    <row r="2" customFormat="false" ht="18" hidden="false" customHeight="true" outlineLevel="0" collapsed="false">
      <c r="A2" s="3" t="s">
        <v>374</v>
      </c>
      <c r="B2" s="3"/>
      <c r="C2" s="3"/>
      <c r="D2" s="3"/>
      <c r="E2" s="3"/>
    </row>
    <row r="4" customFormat="false" ht="15" hidden="false" customHeight="true" outlineLevel="0" collapsed="false">
      <c r="A4" s="7" t="s">
        <v>183</v>
      </c>
      <c r="B4" s="7" t="s">
        <v>375</v>
      </c>
      <c r="C4" s="7" t="s">
        <v>376</v>
      </c>
      <c r="D4" s="7" t="s">
        <v>377</v>
      </c>
      <c r="E4" s="7" t="s">
        <v>378</v>
      </c>
    </row>
    <row r="5" customFormat="false" ht="15" hidden="false" customHeight="true" outlineLevel="0" collapsed="false">
      <c r="A5" s="8" t="s">
        <v>355</v>
      </c>
      <c r="B5" s="47" t="n">
        <f aca="false">'Presupuesto Lanzamiento y Año 1'!B21</f>
        <v>2200000</v>
      </c>
      <c r="C5" s="19"/>
      <c r="D5" s="47" t="n">
        <f aca="false">'Presupuesto Lanzamiento y Año 1'!M21</f>
        <v>8687032.45358964</v>
      </c>
      <c r="E5" s="19"/>
    </row>
    <row r="6" customFormat="false" ht="15" hidden="false" customHeight="true" outlineLevel="0" collapsed="false">
      <c r="A6" s="8" t="s">
        <v>379</v>
      </c>
      <c r="B6" s="47" t="n">
        <f aca="false">-B5*0.015</f>
        <v>-33000</v>
      </c>
      <c r="C6" s="19"/>
      <c r="D6" s="47" t="n">
        <f aca="false">-D5*0.015</f>
        <v>-130305.486803845</v>
      </c>
      <c r="E6" s="19"/>
    </row>
    <row r="7" customFormat="false" ht="15" hidden="false" customHeight="true" outlineLevel="0" collapsed="false">
      <c r="A7" s="8" t="s">
        <v>380</v>
      </c>
      <c r="B7" s="47" t="n">
        <f aca="false">-B5*0.005</f>
        <v>-11000</v>
      </c>
      <c r="C7" s="19"/>
      <c r="D7" s="47" t="n">
        <f aca="false">-D5*0.005</f>
        <v>-43435.1622679482</v>
      </c>
      <c r="E7" s="19"/>
    </row>
    <row r="8" customFormat="false" ht="15" hidden="false" customHeight="true" outlineLevel="0" collapsed="false">
      <c r="A8" s="8" t="s">
        <v>381</v>
      </c>
      <c r="B8" s="47" t="n">
        <f aca="false">-B5*0.01</f>
        <v>-22000</v>
      </c>
      <c r="C8" s="19"/>
      <c r="D8" s="47" t="n">
        <f aca="false">-D5*0.01</f>
        <v>-86870.3245358964</v>
      </c>
      <c r="E8" s="19"/>
    </row>
    <row r="9" customFormat="false" ht="15" hidden="false" customHeight="true" outlineLevel="0" collapsed="false">
      <c r="A9" s="31" t="s">
        <v>382</v>
      </c>
      <c r="B9" s="50" t="n">
        <f aca="false">SUM(B5:B8)</f>
        <v>2134000</v>
      </c>
      <c r="C9" s="32"/>
      <c r="D9" s="50" t="n">
        <f aca="false">SUM(D5:D8)</f>
        <v>8426421.47998195</v>
      </c>
      <c r="E9" s="32"/>
    </row>
    <row r="11" customFormat="false" ht="15" hidden="false" customHeight="true" outlineLevel="0" collapsed="false">
      <c r="A11" s="8" t="s">
        <v>357</v>
      </c>
      <c r="B11" s="47" t="n">
        <f aca="false">'Presupuesto Lanzamiento y Año 1'!B23</f>
        <v>1000021.2</v>
      </c>
      <c r="C11" s="48" t="n">
        <f aca="false">B11/$B$9</f>
        <v>0.468613495782568</v>
      </c>
      <c r="D11" s="47" t="n">
        <f aca="false">'Presupuesto Lanzamiento y Año 1'!M23</f>
        <v>3948734.82667166</v>
      </c>
      <c r="E11" s="48" t="n">
        <f aca="false">D11/$D$9</f>
        <v>0.468613495782568</v>
      </c>
    </row>
    <row r="12" customFormat="false" ht="15" hidden="false" customHeight="true" outlineLevel="0" collapsed="false">
      <c r="A12" s="83" t="s">
        <v>383</v>
      </c>
      <c r="B12" s="84" t="n">
        <f aca="false">B9-B11</f>
        <v>1133978.8</v>
      </c>
      <c r="C12" s="85"/>
      <c r="D12" s="84" t="n">
        <f aca="false">D9-D11</f>
        <v>4477686.65331029</v>
      </c>
      <c r="E12" s="85"/>
    </row>
    <row r="13" customFormat="false" ht="15" hidden="false" customHeight="true" outlineLevel="0" collapsed="false">
      <c r="A13" s="83" t="s">
        <v>384</v>
      </c>
      <c r="B13" s="84" t="n">
        <f aca="false">B12</f>
        <v>1133978.8</v>
      </c>
      <c r="C13" s="86" t="n">
        <f aca="false">B13/$B$9</f>
        <v>0.531386504217432</v>
      </c>
      <c r="D13" s="84" t="n">
        <f aca="false">D12</f>
        <v>4477686.65331029</v>
      </c>
      <c r="E13" s="86" t="n">
        <f aca="false">D13/$D$9</f>
        <v>0.531386504217432</v>
      </c>
    </row>
    <row r="15" customFormat="false" ht="15" hidden="false" customHeight="true" outlineLevel="0" collapsed="false">
      <c r="A15" s="5" t="s">
        <v>385</v>
      </c>
      <c r="B15" s="19"/>
      <c r="C15" s="19"/>
      <c r="D15" s="19"/>
      <c r="E15" s="19"/>
    </row>
    <row r="16" customFormat="false" ht="15" hidden="false" customHeight="true" outlineLevel="0" collapsed="false">
      <c r="A16" s="8" t="s">
        <v>386</v>
      </c>
      <c r="B16" s="47" t="n">
        <f aca="false">'Presupuesto Lanzamiento y Año 1'!B24</f>
        <v>0</v>
      </c>
      <c r="C16" s="19"/>
      <c r="D16" s="47" t="n">
        <f aca="false">'Presupuesto Lanzamiento y Año 1'!M24</f>
        <v>0</v>
      </c>
      <c r="E16" s="19"/>
    </row>
    <row r="17" customFormat="false" ht="15" hidden="false" customHeight="true" outlineLevel="0" collapsed="false">
      <c r="A17" s="8" t="s">
        <v>359</v>
      </c>
      <c r="B17" s="47" t="n">
        <f aca="false">'Presupuesto Lanzamiento y Año 1'!B25</f>
        <v>52900</v>
      </c>
      <c r="C17" s="19"/>
      <c r="D17" s="47" t="n">
        <f aca="false">'Presupuesto Lanzamiento y Año 1'!M25</f>
        <v>208883.643997678</v>
      </c>
      <c r="E17" s="19"/>
    </row>
    <row r="18" customFormat="false" ht="15" hidden="false" customHeight="true" outlineLevel="0" collapsed="false">
      <c r="A18" s="8" t="s">
        <v>387</v>
      </c>
      <c r="B18" s="47" t="n">
        <f aca="false">'Presupuesto Lanzamiento y Año 1'!B26</f>
        <v>130460</v>
      </c>
      <c r="C18" s="19"/>
      <c r="D18" s="47" t="n">
        <f aca="false">'Presupuesto Lanzamiento y Año 1'!M26</f>
        <v>515141.024497865</v>
      </c>
      <c r="E18" s="19"/>
    </row>
    <row r="19" customFormat="false" ht="15" hidden="false" customHeight="true" outlineLevel="0" collapsed="false">
      <c r="A19" s="8" t="s">
        <v>388</v>
      </c>
      <c r="B19" s="47" t="n">
        <f aca="false">'Presupuesto Lanzamiento y Año 1'!B27</f>
        <v>40000</v>
      </c>
      <c r="C19" s="19"/>
      <c r="D19" s="47" t="n">
        <f aca="false">'Presupuesto Lanzamiento y Año 1'!M27</f>
        <v>40000</v>
      </c>
      <c r="E19" s="19"/>
    </row>
    <row r="20" customFormat="false" ht="15" hidden="false" customHeight="true" outlineLevel="0" collapsed="false">
      <c r="A20" s="87" t="s">
        <v>389</v>
      </c>
      <c r="B20" s="88" t="n">
        <f aca="false">B12-B16-B17-B18-B19</f>
        <v>910618.8</v>
      </c>
      <c r="C20" s="89" t="n">
        <f aca="false">B20/$B$9</f>
        <v>0.426719212746017</v>
      </c>
      <c r="D20" s="88" t="n">
        <f aca="false">D12-D16-D17-D18-D19</f>
        <v>3713661.98481474</v>
      </c>
      <c r="E20" s="89" t="n">
        <f aca="false">D20/$D$9</f>
        <v>0.440716381638045</v>
      </c>
    </row>
    <row r="22" customFormat="false" ht="15" hidden="false" customHeight="true" outlineLevel="0" collapsed="false">
      <c r="A22" s="5" t="s">
        <v>390</v>
      </c>
      <c r="B22" s="19"/>
      <c r="C22" s="19"/>
      <c r="D22" s="19"/>
      <c r="E22" s="19"/>
    </row>
    <row r="23" customFormat="false" ht="15" hidden="false" customHeight="true" outlineLevel="0" collapsed="false">
      <c r="A23" s="8" t="s">
        <v>278</v>
      </c>
      <c r="B23" s="47" t="n">
        <f aca="false">'Presupuesto Lanzamiento y Año 1'!B28</f>
        <v>99000</v>
      </c>
      <c r="C23" s="19"/>
      <c r="D23" s="47" t="n">
        <f aca="false">'Presupuesto Lanzamiento y Año 1'!M28</f>
        <v>390916.460411534</v>
      </c>
      <c r="E23" s="19"/>
    </row>
    <row r="24" customFormat="false" ht="15" hidden="false" customHeight="true" outlineLevel="0" collapsed="false">
      <c r="A24" s="8" t="s">
        <v>280</v>
      </c>
      <c r="B24" s="47" t="n">
        <f aca="false">'Presupuesto Lanzamiento y Año 1'!B29</f>
        <v>99000</v>
      </c>
      <c r="C24" s="19"/>
      <c r="D24" s="47" t="n">
        <f aca="false">'Presupuesto Lanzamiento y Año 1'!M29</f>
        <v>390916.460411534</v>
      </c>
      <c r="E24" s="19"/>
    </row>
    <row r="25" customFormat="false" ht="15" hidden="false" customHeight="true" outlineLevel="0" collapsed="false">
      <c r="A25" s="8" t="s">
        <v>391</v>
      </c>
      <c r="B25" s="47" t="n">
        <f aca="false">'Presupuesto Lanzamiento y Año 1'!B30</f>
        <v>132000</v>
      </c>
      <c r="C25" s="19"/>
      <c r="D25" s="47" t="n">
        <f aca="false">'Presupuesto Lanzamiento y Año 1'!M30</f>
        <v>521221.947215378</v>
      </c>
      <c r="E25" s="19"/>
    </row>
    <row r="26" customFormat="false" ht="15" hidden="false" customHeight="true" outlineLevel="0" collapsed="false">
      <c r="A26" s="63" t="s">
        <v>392</v>
      </c>
      <c r="B26" s="65" t="n">
        <f aca="false">B20-B23-B24-B25</f>
        <v>580618.8</v>
      </c>
      <c r="C26" s="66" t="n">
        <f aca="false">B26/$B$9</f>
        <v>0.272080037488285</v>
      </c>
      <c r="D26" s="65" t="n">
        <f aca="false">D20-D23-D24-D25</f>
        <v>2410607.1167763</v>
      </c>
      <c r="E26" s="66" t="n">
        <f aca="false">D26/$D$9</f>
        <v>0.286077206380313</v>
      </c>
    </row>
    <row r="28" customFormat="false" ht="15" hidden="false" customHeight="true" outlineLevel="0" collapsed="false">
      <c r="A28" s="5" t="s">
        <v>393</v>
      </c>
      <c r="B28" s="19"/>
      <c r="C28" s="19"/>
      <c r="D28" s="19"/>
      <c r="E28" s="19"/>
    </row>
    <row r="29" customFormat="false" ht="15" hidden="false" customHeight="true" outlineLevel="0" collapsed="false">
      <c r="A29" s="8" t="s">
        <v>394</v>
      </c>
      <c r="B29" s="47" t="n">
        <f aca="false">'Costos Fijos y Variables'!$C$22</f>
        <v>740708.333333333</v>
      </c>
      <c r="C29" s="19"/>
      <c r="D29" s="47" t="n">
        <f aca="false">'Costos Fijos y Variables'!$C$22</f>
        <v>740708.333333333</v>
      </c>
      <c r="E29" s="19"/>
    </row>
    <row r="30" customFormat="false" ht="15" hidden="false" customHeight="true" outlineLevel="0" collapsed="false">
      <c r="A30" s="80" t="s">
        <v>395</v>
      </c>
      <c r="B30" s="81" t="n">
        <f aca="false">B26-B29</f>
        <v>-160089.533333333</v>
      </c>
      <c r="C30" s="90" t="n">
        <f aca="false">B30/$B$9</f>
        <v>-0.0750185254607935</v>
      </c>
      <c r="D30" s="81" t="n">
        <f aca="false">D26-D29</f>
        <v>1669898.78344297</v>
      </c>
      <c r="E30" s="90" t="n">
        <f aca="false">D30/$D$9</f>
        <v>0.198174134466217</v>
      </c>
    </row>
    <row r="33" customFormat="false" ht="54.75" hidden="false" customHeight="true" outlineLevel="0" collapsed="false">
      <c r="A33" s="41" t="s">
        <v>396</v>
      </c>
      <c r="B33" s="41"/>
      <c r="C33" s="41"/>
      <c r="D33" s="41"/>
      <c r="E33" s="41"/>
    </row>
    <row r="35" customFormat="false" ht="19.5" hidden="false" customHeight="true" outlineLevel="0" collapsed="false">
      <c r="A35" s="4" t="s">
        <v>397</v>
      </c>
      <c r="B35" s="4"/>
      <c r="C35" s="4"/>
      <c r="D35" s="4"/>
      <c r="E35" s="4"/>
    </row>
    <row r="36" customFormat="false" ht="15" hidden="false" customHeight="true" outlineLevel="0" collapsed="false">
      <c r="A36" s="20" t="s">
        <v>398</v>
      </c>
      <c r="B36" s="91" t="n">
        <f aca="false">'Costos Fijos y Variables'!E46</f>
        <v>5083.094</v>
      </c>
      <c r="C36" s="91"/>
      <c r="D36" s="91"/>
      <c r="E36" s="91"/>
    </row>
    <row r="37" customFormat="false" ht="15" hidden="false" customHeight="true" outlineLevel="0" collapsed="false">
      <c r="A37" s="20" t="s">
        <v>399</v>
      </c>
      <c r="B37" s="92" t="n">
        <f aca="false">'Costos Fijos y Variables'!E47</f>
        <v>0.462099454545455</v>
      </c>
      <c r="C37" s="92"/>
      <c r="D37" s="92"/>
      <c r="E37" s="92"/>
    </row>
  </sheetData>
  <mergeCells count="6">
    <mergeCell ref="A1:E1"/>
    <mergeCell ref="A2:E2"/>
    <mergeCell ref="A33:E33"/>
    <mergeCell ref="A35:E35"/>
    <mergeCell ref="B36:E36"/>
    <mergeCell ref="B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2"/>
    <col collapsed="false" customWidth="true" hidden="false" outlineLevel="0" max="3" min="3" style="1" width="40"/>
    <col collapsed="false" customWidth="true" hidden="false" outlineLevel="0" max="5" min="4" style="1" width="18"/>
  </cols>
  <sheetData>
    <row r="1" customFormat="false" ht="27.75" hidden="false" customHeight="true" outlineLevel="0" collapsed="false">
      <c r="A1" s="2" t="s">
        <v>400</v>
      </c>
      <c r="B1" s="2"/>
      <c r="C1" s="2"/>
      <c r="D1" s="2"/>
      <c r="E1" s="2"/>
    </row>
    <row r="2" customFormat="false" ht="18" hidden="false" customHeight="true" outlineLevel="0" collapsed="false">
      <c r="A2" s="3" t="s">
        <v>401</v>
      </c>
      <c r="B2" s="3"/>
      <c r="C2" s="3"/>
      <c r="D2" s="3"/>
      <c r="E2" s="3"/>
    </row>
    <row r="4" customFormat="false" ht="19.5" hidden="false" customHeight="true" outlineLevel="0" collapsed="false">
      <c r="A4" s="4" t="s">
        <v>402</v>
      </c>
      <c r="B4" s="4"/>
      <c r="C4" s="4"/>
      <c r="D4" s="4"/>
      <c r="E4" s="4"/>
    </row>
    <row r="5" customFormat="false" ht="15" hidden="false" customHeight="true" outlineLevel="0" collapsed="false">
      <c r="A5" s="7" t="s">
        <v>403</v>
      </c>
      <c r="B5" s="7" t="s">
        <v>404</v>
      </c>
      <c r="C5" s="7" t="s">
        <v>405</v>
      </c>
      <c r="D5" s="7" t="s">
        <v>406</v>
      </c>
    </row>
    <row r="6" customFormat="false" ht="30" hidden="false" customHeight="true" outlineLevel="0" collapsed="false">
      <c r="A6" s="5" t="s">
        <v>407</v>
      </c>
      <c r="B6" s="6" t="s">
        <v>408</v>
      </c>
      <c r="C6" s="8" t="s">
        <v>409</v>
      </c>
      <c r="D6" s="93" t="s">
        <v>410</v>
      </c>
    </row>
    <row r="7" customFormat="false" ht="30" hidden="false" customHeight="true" outlineLevel="0" collapsed="false">
      <c r="A7" s="5" t="s">
        <v>411</v>
      </c>
      <c r="B7" s="6" t="s">
        <v>412</v>
      </c>
      <c r="C7" s="8" t="s">
        <v>413</v>
      </c>
      <c r="D7" s="93" t="s">
        <v>414</v>
      </c>
    </row>
    <row r="8" customFormat="false" ht="30" hidden="false" customHeight="true" outlineLevel="0" collapsed="false">
      <c r="A8" s="5" t="s">
        <v>415</v>
      </c>
      <c r="B8" s="6" t="s">
        <v>416</v>
      </c>
      <c r="C8" s="8" t="s">
        <v>417</v>
      </c>
      <c r="D8" s="93" t="s">
        <v>418</v>
      </c>
    </row>
    <row r="9" customFormat="false" ht="30" hidden="false" customHeight="true" outlineLevel="0" collapsed="false">
      <c r="A9" s="5" t="s">
        <v>419</v>
      </c>
      <c r="B9" s="6" t="s">
        <v>420</v>
      </c>
      <c r="C9" s="8" t="s">
        <v>421</v>
      </c>
      <c r="D9" s="93" t="s">
        <v>422</v>
      </c>
    </row>
    <row r="10" customFormat="false" ht="30" hidden="false" customHeight="true" outlineLevel="0" collapsed="false">
      <c r="A10" s="5" t="s">
        <v>423</v>
      </c>
      <c r="B10" s="6" t="s">
        <v>424</v>
      </c>
      <c r="C10" s="8" t="s">
        <v>425</v>
      </c>
      <c r="D10" s="93" t="s">
        <v>426</v>
      </c>
    </row>
    <row r="12" customFormat="false" ht="19.5" hidden="false" customHeight="true" outlineLevel="0" collapsed="false">
      <c r="A12" s="4" t="s">
        <v>427</v>
      </c>
      <c r="B12" s="4"/>
      <c r="C12" s="4"/>
      <c r="D12" s="4"/>
      <c r="E12" s="4"/>
    </row>
    <row r="13" customFormat="false" ht="23.25" hidden="false" customHeight="true" outlineLevel="0" collapsed="false">
      <c r="A13" s="7" t="s">
        <v>428</v>
      </c>
      <c r="B13" s="7" t="s">
        <v>429</v>
      </c>
      <c r="C13" s="7" t="s">
        <v>430</v>
      </c>
      <c r="D13" s="7" t="s">
        <v>431</v>
      </c>
      <c r="E13" s="7" t="s">
        <v>432</v>
      </c>
    </row>
    <row r="14" customFormat="false" ht="15" hidden="false" customHeight="true" outlineLevel="0" collapsed="false">
      <c r="A14" s="8" t="s">
        <v>433</v>
      </c>
      <c r="B14" s="67" t="n">
        <f aca="false">'Presupuesto Lanzamiento y Año 1'!B20</f>
        <v>200</v>
      </c>
      <c r="C14" s="47" t="n">
        <f aca="false">'Costos Fijos y Variables'!$C$22</f>
        <v>740708.333333333</v>
      </c>
      <c r="D14" s="47" t="n">
        <f aca="false">'Costos Fijos y Variables'!$E$45</f>
        <v>5916.906</v>
      </c>
      <c r="E14" s="48" t="n">
        <f aca="false">C14/(B14*'Costos Fijos y Variables'!$B$6)</f>
        <v>0.336685606060606</v>
      </c>
    </row>
    <row r="15" customFormat="false" ht="15" hidden="false" customHeight="true" outlineLevel="0" collapsed="false">
      <c r="A15" s="8" t="s">
        <v>434</v>
      </c>
      <c r="B15" s="67" t="n">
        <f aca="false">'Presupuesto Lanzamiento y Año 1'!G20</f>
        <v>497.664</v>
      </c>
      <c r="C15" s="47" t="n">
        <f aca="false">'Costos Fijos y Variables'!$C$22</f>
        <v>740708.333333333</v>
      </c>
      <c r="D15" s="47" t="n">
        <f aca="false">'Costos Fijos y Variables'!$E$45</f>
        <v>5916.906</v>
      </c>
      <c r="E15" s="48" t="n">
        <f aca="false">C15/(B15*'Costos Fijos y Variables'!$B$6)</f>
        <v>0.135306393896527</v>
      </c>
    </row>
    <row r="16" customFormat="false" ht="15" hidden="false" customHeight="true" outlineLevel="0" collapsed="false">
      <c r="A16" s="8" t="s">
        <v>435</v>
      </c>
      <c r="B16" s="67" t="n">
        <f aca="false">'Presupuesto Lanzamiento y Año 1'!M20</f>
        <v>789.730223053603</v>
      </c>
      <c r="C16" s="47" t="n">
        <f aca="false">'Costos Fijos y Variables'!$C$22</f>
        <v>740708.333333333</v>
      </c>
      <c r="D16" s="47" t="n">
        <f aca="false">'Costos Fijos y Variables'!$E$45</f>
        <v>5916.906</v>
      </c>
      <c r="E16" s="48" t="n">
        <f aca="false">C16/(B16*'Costos Fijos y Variables'!$B$6)</f>
        <v>0.0852659797566728</v>
      </c>
    </row>
    <row r="17" customFormat="false" ht="15" hidden="false" customHeight="true" outlineLevel="0" collapsed="false">
      <c r="A17" s="8" t="s">
        <v>436</v>
      </c>
      <c r="B17" s="67" t="n">
        <f aca="false">'Presupuesto Lanzamiento y Año 1'!M20*3</f>
        <v>2369.19066916081</v>
      </c>
      <c r="C17" s="47" t="n">
        <f aca="false">'Costos Fijos y Variables'!$C$22</f>
        <v>740708.333333333</v>
      </c>
      <c r="D17" s="47" t="n">
        <f aca="false">'Costos Fijos y Variables'!$E$45</f>
        <v>5916.906</v>
      </c>
      <c r="E17" s="48" t="n">
        <f aca="false">C17/(B17*'Costos Fijos y Variables'!$B$6)</f>
        <v>0.0284219932522243</v>
      </c>
    </row>
    <row r="19" customFormat="false" ht="39.75" hidden="false" customHeight="true" outlineLevel="0" collapsed="false">
      <c r="A19" s="41" t="s">
        <v>437</v>
      </c>
      <c r="B19" s="41"/>
      <c r="C19" s="41"/>
      <c r="D19" s="41"/>
      <c r="E19" s="41"/>
    </row>
    <row r="21" customFormat="false" ht="15" hidden="false" customHeight="true" outlineLevel="0" collapsed="false">
      <c r="A21" s="14" t="s">
        <v>438</v>
      </c>
    </row>
    <row r="22" customFormat="false" ht="39.75" hidden="false" customHeight="true" outlineLevel="0" collapsed="false">
      <c r="A22" s="41" t="s">
        <v>439</v>
      </c>
      <c r="B22" s="41"/>
      <c r="C22" s="41"/>
      <c r="D22" s="41"/>
      <c r="E22" s="41"/>
    </row>
    <row r="24" customFormat="false" ht="19.5" hidden="false" customHeight="true" outlineLevel="0" collapsed="false">
      <c r="A24" s="4" t="s">
        <v>440</v>
      </c>
      <c r="B24" s="4"/>
      <c r="C24" s="4"/>
      <c r="D24" s="4"/>
      <c r="E24" s="4"/>
    </row>
    <row r="25" customFormat="false" ht="30" hidden="false" customHeight="true" outlineLevel="0" collapsed="false">
      <c r="A25" s="41" t="s">
        <v>441</v>
      </c>
      <c r="B25" s="41"/>
      <c r="C25" s="41"/>
      <c r="D25" s="41"/>
      <c r="E25" s="41"/>
    </row>
    <row r="27" customFormat="false" ht="45.75" hidden="false" customHeight="true" outlineLevel="0" collapsed="false">
      <c r="A27" s="7" t="s">
        <v>442</v>
      </c>
      <c r="B27" s="7" t="s">
        <v>443</v>
      </c>
      <c r="C27" s="7" t="s">
        <v>444</v>
      </c>
      <c r="D27" s="7" t="s">
        <v>445</v>
      </c>
      <c r="E27" s="7" t="s">
        <v>446</v>
      </c>
    </row>
    <row r="28" customFormat="false" ht="15" hidden="false" customHeight="true" outlineLevel="0" collapsed="false">
      <c r="A28" s="8" t="s">
        <v>447</v>
      </c>
      <c r="B28" s="94" t="n">
        <v>0</v>
      </c>
      <c r="C28" s="94" t="n">
        <v>0</v>
      </c>
      <c r="D28" s="47" t="n">
        <f aca="false">'Costos Fijos y Variables'!$E$45*(1+B28)</f>
        <v>5916.906</v>
      </c>
      <c r="E28" s="47" t="n">
        <f aca="false">'Costos Fijos y Variables'!$B$6-D28</f>
        <v>5083.094</v>
      </c>
    </row>
    <row r="29" customFormat="false" ht="15" hidden="false" customHeight="true" outlineLevel="0" collapsed="false">
      <c r="A29" s="8" t="s">
        <v>448</v>
      </c>
      <c r="B29" s="94" t="n">
        <v>0.1</v>
      </c>
      <c r="C29" s="94" t="n">
        <v>0.08</v>
      </c>
      <c r="D29" s="47" t="n">
        <f aca="false">'Costos Fijos y Variables'!$E$45*(1+B29)</f>
        <v>6508.5966</v>
      </c>
      <c r="E29" s="47" t="n">
        <f aca="false">'Costos Fijos y Variables'!$B$6-D29</f>
        <v>4491.4034</v>
      </c>
    </row>
    <row r="30" customFormat="false" ht="15" hidden="false" customHeight="true" outlineLevel="0" collapsed="false">
      <c r="A30" s="8" t="s">
        <v>449</v>
      </c>
      <c r="B30" s="94" t="n">
        <v>0.25</v>
      </c>
      <c r="C30" s="94" t="n">
        <v>0.2</v>
      </c>
      <c r="D30" s="47" t="n">
        <f aca="false">'Costos Fijos y Variables'!$E$45*(1+B30)</f>
        <v>7396.1325</v>
      </c>
      <c r="E30" s="47" t="n">
        <f aca="false">'Costos Fijos y Variables'!$B$6-D30</f>
        <v>3603.8675</v>
      </c>
    </row>
    <row r="31" customFormat="false" ht="15" hidden="false" customHeight="true" outlineLevel="0" collapsed="false">
      <c r="A31" s="95" t="s">
        <v>450</v>
      </c>
      <c r="B31" s="96" t="n">
        <v>0.4</v>
      </c>
      <c r="C31" s="96" t="n">
        <v>0.3</v>
      </c>
      <c r="D31" s="97" t="n">
        <f aca="false">'Costos Fijos y Variables'!$E$45*(1+B31)</f>
        <v>8283.6684</v>
      </c>
      <c r="E31" s="97" t="n">
        <f aca="false">'Costos Fijos y Variables'!$B$6-D31</f>
        <v>2716.3316</v>
      </c>
    </row>
    <row r="33" customFormat="false" ht="39.75" hidden="false" customHeight="true" outlineLevel="0" collapsed="false">
      <c r="A33" s="41" t="s">
        <v>451</v>
      </c>
      <c r="B33" s="41"/>
      <c r="C33" s="41"/>
      <c r="D33" s="41"/>
      <c r="E33" s="41"/>
    </row>
    <row r="35" customFormat="false" ht="15" hidden="false" customHeight="true" outlineLevel="0" collapsed="false">
      <c r="A35" s="14" t="s">
        <v>452</v>
      </c>
    </row>
    <row r="36" customFormat="false" ht="27.75" hidden="false" customHeight="true" outlineLevel="0" collapsed="false">
      <c r="A36" s="98" t="s">
        <v>453</v>
      </c>
      <c r="B36" s="98"/>
      <c r="C36" s="98"/>
      <c r="D36" s="98"/>
      <c r="E36" s="98"/>
    </row>
    <row r="37" customFormat="false" ht="27.75" hidden="false" customHeight="true" outlineLevel="0" collapsed="false">
      <c r="A37" s="98" t="s">
        <v>454</v>
      </c>
      <c r="B37" s="98"/>
      <c r="C37" s="98"/>
      <c r="D37" s="98"/>
      <c r="E37" s="98"/>
    </row>
    <row r="38" customFormat="false" ht="27.75" hidden="false" customHeight="true" outlineLevel="0" collapsed="false">
      <c r="A38" s="98" t="s">
        <v>455</v>
      </c>
      <c r="B38" s="98"/>
      <c r="C38" s="98"/>
      <c r="D38" s="98"/>
      <c r="E38" s="98"/>
    </row>
    <row r="39" customFormat="false" ht="27.75" hidden="false" customHeight="true" outlineLevel="0" collapsed="false">
      <c r="A39" s="98" t="s">
        <v>456</v>
      </c>
      <c r="B39" s="98"/>
      <c r="C39" s="98"/>
      <c r="D39" s="98"/>
      <c r="E39" s="98"/>
    </row>
    <row r="41" customFormat="false" ht="19.5" hidden="false" customHeight="true" outlineLevel="0" collapsed="false">
      <c r="A41" s="4" t="s">
        <v>457</v>
      </c>
      <c r="B41" s="4"/>
      <c r="C41" s="4"/>
      <c r="D41" s="4"/>
      <c r="E41" s="4"/>
    </row>
    <row r="42" customFormat="false" ht="15" hidden="false" customHeight="true" outlineLevel="0" collapsed="false">
      <c r="A42" s="7" t="s">
        <v>183</v>
      </c>
      <c r="B42" s="7" t="s">
        <v>458</v>
      </c>
      <c r="C42" s="7" t="s">
        <v>459</v>
      </c>
      <c r="D42" s="7" t="s">
        <v>460</v>
      </c>
    </row>
    <row r="43" customFormat="false" ht="33.75" hidden="false" customHeight="true" outlineLevel="0" collapsed="false">
      <c r="A43" s="5" t="s">
        <v>13</v>
      </c>
      <c r="B43" s="8" t="s">
        <v>461</v>
      </c>
      <c r="C43" s="93" t="s">
        <v>462</v>
      </c>
      <c r="D43" s="6" t="s">
        <v>463</v>
      </c>
    </row>
    <row r="44" customFormat="false" ht="33.75" hidden="false" customHeight="true" outlineLevel="0" collapsed="false">
      <c r="A44" s="5" t="s">
        <v>464</v>
      </c>
      <c r="B44" s="8" t="s">
        <v>292</v>
      </c>
      <c r="C44" s="93" t="s">
        <v>465</v>
      </c>
      <c r="D44" s="6" t="s">
        <v>466</v>
      </c>
    </row>
    <row r="45" customFormat="false" ht="33.75" hidden="false" customHeight="true" outlineLevel="0" collapsed="false">
      <c r="A45" s="5" t="s">
        <v>467</v>
      </c>
      <c r="B45" s="8" t="s">
        <v>468</v>
      </c>
      <c r="C45" s="93" t="s">
        <v>469</v>
      </c>
      <c r="D45" s="6" t="s">
        <v>470</v>
      </c>
    </row>
    <row r="46" customFormat="false" ht="33.75" hidden="false" customHeight="true" outlineLevel="0" collapsed="false">
      <c r="A46" s="5" t="s">
        <v>15</v>
      </c>
      <c r="B46" s="8" t="s">
        <v>471</v>
      </c>
      <c r="C46" s="93" t="s">
        <v>472</v>
      </c>
      <c r="D46" s="6" t="s">
        <v>473</v>
      </c>
    </row>
    <row r="47" customFormat="false" ht="33.75" hidden="false" customHeight="true" outlineLevel="0" collapsed="false">
      <c r="A47" s="5" t="s">
        <v>11</v>
      </c>
      <c r="B47" s="8" t="s">
        <v>474</v>
      </c>
      <c r="C47" s="93" t="s">
        <v>475</v>
      </c>
      <c r="D47" s="6" t="s">
        <v>476</v>
      </c>
    </row>
    <row r="48" customFormat="false" ht="33.75" hidden="false" customHeight="true" outlineLevel="0" collapsed="false">
      <c r="A48" s="5" t="s">
        <v>477</v>
      </c>
      <c r="B48" s="8" t="s">
        <v>478</v>
      </c>
      <c r="C48" s="93" t="s">
        <v>479</v>
      </c>
      <c r="D48" s="6" t="s">
        <v>480</v>
      </c>
    </row>
    <row r="50" customFormat="false" ht="54.75" hidden="false" customHeight="true" outlineLevel="0" collapsed="false">
      <c r="A50" s="41" t="s">
        <v>481</v>
      </c>
      <c r="B50" s="41"/>
      <c r="C50" s="41"/>
      <c r="D50" s="41"/>
      <c r="E50" s="41"/>
    </row>
    <row r="52" customFormat="false" ht="19.5" hidden="false" customHeight="true" outlineLevel="0" collapsed="false">
      <c r="A52" s="4" t="s">
        <v>482</v>
      </c>
      <c r="B52" s="4"/>
      <c r="C52" s="4"/>
      <c r="D52" s="4"/>
      <c r="E52" s="4"/>
    </row>
    <row r="53" customFormat="false" ht="15" hidden="false" customHeight="true" outlineLevel="0" collapsed="false">
      <c r="A53" s="7" t="s">
        <v>183</v>
      </c>
      <c r="B53" s="7" t="s">
        <v>483</v>
      </c>
      <c r="C53" s="7" t="s">
        <v>484</v>
      </c>
      <c r="D53" s="7" t="s">
        <v>460</v>
      </c>
    </row>
    <row r="54" customFormat="false" ht="36" hidden="false" customHeight="true" outlineLevel="0" collapsed="false">
      <c r="A54" s="5" t="s">
        <v>485</v>
      </c>
      <c r="B54" s="8" t="s">
        <v>486</v>
      </c>
      <c r="C54" s="93" t="s">
        <v>487</v>
      </c>
      <c r="D54" s="6" t="s">
        <v>488</v>
      </c>
    </row>
    <row r="55" customFormat="false" ht="36" hidden="false" customHeight="true" outlineLevel="0" collapsed="false">
      <c r="A55" s="5" t="s">
        <v>489</v>
      </c>
      <c r="B55" s="8" t="s">
        <v>490</v>
      </c>
      <c r="C55" s="93" t="s">
        <v>491</v>
      </c>
      <c r="D55" s="6" t="s">
        <v>492</v>
      </c>
    </row>
    <row r="56" customFormat="false" ht="36" hidden="false" customHeight="true" outlineLevel="0" collapsed="false">
      <c r="A56" s="5" t="s">
        <v>493</v>
      </c>
      <c r="B56" s="8" t="s">
        <v>494</v>
      </c>
      <c r="C56" s="93" t="s">
        <v>495</v>
      </c>
      <c r="D56" s="6" t="s">
        <v>496</v>
      </c>
    </row>
    <row r="57" customFormat="false" ht="36" hidden="false" customHeight="true" outlineLevel="0" collapsed="false">
      <c r="A57" s="5" t="s">
        <v>497</v>
      </c>
      <c r="B57" s="8" t="s">
        <v>498</v>
      </c>
      <c r="C57" s="93" t="s">
        <v>499</v>
      </c>
      <c r="D57" s="6" t="s">
        <v>500</v>
      </c>
    </row>
    <row r="59" customFormat="false" ht="19.5" hidden="false" customHeight="true" outlineLevel="0" collapsed="false">
      <c r="A59" s="4" t="s">
        <v>501</v>
      </c>
      <c r="B59" s="4"/>
      <c r="C59" s="4"/>
      <c r="D59" s="4"/>
      <c r="E59" s="4"/>
    </row>
    <row r="60" customFormat="false" ht="69.75" hidden="false" customHeight="true" outlineLevel="0" collapsed="false">
      <c r="A60" s="13" t="s">
        <v>502</v>
      </c>
      <c r="B60" s="13"/>
      <c r="C60" s="13"/>
      <c r="D60" s="13"/>
      <c r="E60" s="13"/>
    </row>
    <row r="62" customFormat="false" ht="15" hidden="false" customHeight="true" outlineLevel="0" collapsed="false">
      <c r="A62" s="7" t="s">
        <v>503</v>
      </c>
      <c r="B62" s="7" t="s">
        <v>504</v>
      </c>
      <c r="C62" s="7" t="s">
        <v>505</v>
      </c>
    </row>
    <row r="63" customFormat="false" ht="15" hidden="false" customHeight="true" outlineLevel="0" collapsed="false">
      <c r="A63" s="8" t="s">
        <v>506</v>
      </c>
      <c r="B63" s="53" t="s">
        <v>507</v>
      </c>
      <c r="C63" s="54" t="n">
        <f aca="false">'Costeo por Barrita'!$E$21</f>
        <v>357</v>
      </c>
    </row>
    <row r="64" customFormat="false" ht="15" hidden="false" customHeight="true" outlineLevel="0" collapsed="false">
      <c r="A64" s="8" t="s">
        <v>84</v>
      </c>
      <c r="B64" s="53" t="s">
        <v>508</v>
      </c>
      <c r="C64" s="54" t="n">
        <f aca="false">'Costeo por Barrita'!$E$22</f>
        <v>198</v>
      </c>
    </row>
    <row r="65" customFormat="false" ht="15" hidden="false" customHeight="true" outlineLevel="0" collapsed="false">
      <c r="A65" s="8" t="s">
        <v>509</v>
      </c>
      <c r="B65" s="53" t="s">
        <v>510</v>
      </c>
      <c r="C65" s="54" t="n">
        <f aca="false">'Costeo por Barrita'!$E$39+'Costeo por Barrita'!$E$54</f>
        <v>234.6</v>
      </c>
    </row>
    <row r="66" customFormat="false" ht="15" hidden="false" customHeight="true" outlineLevel="0" collapsed="false">
      <c r="A66" s="8" t="s">
        <v>511</v>
      </c>
      <c r="B66" s="53" t="s">
        <v>512</v>
      </c>
      <c r="C66" s="56" t="n">
        <f aca="false">'Costos Fijos y Variables'!$C$35</f>
        <v>480</v>
      </c>
    </row>
    <row r="67" customFormat="false" ht="15" hidden="false" customHeight="true" outlineLevel="0" collapsed="false">
      <c r="A67" s="31" t="s">
        <v>513</v>
      </c>
      <c r="B67" s="32"/>
      <c r="C67" s="33" t="n">
        <f aca="false">C63+C64+C65+C66</f>
        <v>1269.6</v>
      </c>
    </row>
    <row r="68" customFormat="false" ht="15" hidden="false" customHeight="true" outlineLevel="0" collapsed="false">
      <c r="A68" s="8" t="s">
        <v>514</v>
      </c>
      <c r="B68" s="19"/>
      <c r="C68" s="76" t="n">
        <f aca="false">C67/'Costos Fijos y Variables'!$E$45</f>
        <v>0.214571602117728</v>
      </c>
    </row>
    <row r="70" customFormat="false" ht="15" hidden="false" customHeight="true" outlineLevel="0" collapsed="false">
      <c r="A70" s="14" t="s">
        <v>515</v>
      </c>
    </row>
    <row r="71" customFormat="false" ht="15" hidden="false" customHeight="true" outlineLevel="0" collapsed="false">
      <c r="A71" s="8" t="s">
        <v>516</v>
      </c>
      <c r="B71" s="99" t="n">
        <v>1545</v>
      </c>
      <c r="C71" s="41" t="s">
        <v>517</v>
      </c>
      <c r="D71" s="41"/>
      <c r="E71" s="41"/>
    </row>
    <row r="72" customFormat="false" ht="15" hidden="false" customHeight="true" outlineLevel="0" collapsed="false">
      <c r="A72" s="8" t="s">
        <v>518</v>
      </c>
      <c r="B72" s="55" t="n">
        <v>0.2</v>
      </c>
      <c r="C72" s="41" t="s">
        <v>519</v>
      </c>
      <c r="D72" s="41"/>
      <c r="E72" s="41"/>
    </row>
    <row r="74" customFormat="false" ht="15" hidden="false" customHeight="true" outlineLevel="0" collapsed="false">
      <c r="A74" s="7" t="s">
        <v>183</v>
      </c>
      <c r="B74" s="7" t="s">
        <v>520</v>
      </c>
      <c r="C74" s="7" t="s">
        <v>521</v>
      </c>
      <c r="D74" s="7" t="s">
        <v>522</v>
      </c>
    </row>
    <row r="75" customFormat="false" ht="15" hidden="false" customHeight="true" outlineLevel="0" collapsed="false">
      <c r="A75" s="8" t="s">
        <v>523</v>
      </c>
      <c r="B75" s="30" t="n">
        <f aca="false">C67</f>
        <v>1269.6</v>
      </c>
      <c r="C75" s="30" t="n">
        <f aca="false">C67*(1+$B$72)</f>
        <v>1523.52</v>
      </c>
      <c r="D75" s="30" t="n">
        <f aca="false">C75-B75</f>
        <v>253.92</v>
      </c>
    </row>
    <row r="76" customFormat="false" ht="15" hidden="false" customHeight="true" outlineLevel="0" collapsed="false">
      <c r="A76" s="8" t="s">
        <v>524</v>
      </c>
      <c r="B76" s="30" t="n">
        <f aca="false">'Costos Fijos y Variables'!$E$45</f>
        <v>5916.906</v>
      </c>
      <c r="C76" s="30" t="n">
        <f aca="false">'Costos Fijos y Variables'!$E$45+(C75-B75)</f>
        <v>6170.826</v>
      </c>
      <c r="D76" s="30" t="n">
        <f aca="false">C76-B76</f>
        <v>253.92</v>
      </c>
    </row>
    <row r="77" customFormat="false" ht="15" hidden="false" customHeight="true" outlineLevel="0" collapsed="false">
      <c r="A77" s="63" t="s">
        <v>525</v>
      </c>
      <c r="B77" s="100" t="n">
        <f aca="false">'Costos Fijos y Variables'!$B$6-B76</f>
        <v>5083.094</v>
      </c>
      <c r="C77" s="100" t="n">
        <f aca="false">'Costos Fijos y Variables'!$B$6-C76</f>
        <v>4829.174</v>
      </c>
      <c r="D77" s="100" t="n">
        <f aca="false">C77-B77</f>
        <v>-253.92</v>
      </c>
    </row>
    <row r="78" customFormat="false" ht="15" hidden="false" customHeight="true" outlineLevel="0" collapsed="false">
      <c r="A78" s="8" t="s">
        <v>257</v>
      </c>
      <c r="B78" s="48" t="n">
        <f aca="false">B77/'Costos Fijos y Variables'!$B$6</f>
        <v>0.462099454545455</v>
      </c>
      <c r="C78" s="48" t="n">
        <f aca="false">C77/'Costos Fijos y Variables'!$B$6</f>
        <v>0.439015818181818</v>
      </c>
      <c r="D78" s="48" t="n">
        <f aca="false">C78-B78</f>
        <v>-0.0230836363636364</v>
      </c>
    </row>
    <row r="80" customFormat="false" ht="54.75" hidden="false" customHeight="true" outlineLevel="0" collapsed="false">
      <c r="A80" s="25" t="s">
        <v>526</v>
      </c>
      <c r="B80" s="25"/>
      <c r="C80" s="25"/>
      <c r="D80" s="25"/>
      <c r="E80" s="25"/>
    </row>
    <row r="82" customFormat="false" ht="19.5" hidden="false" customHeight="true" outlineLevel="0" collapsed="false">
      <c r="A82" s="4" t="s">
        <v>527</v>
      </c>
      <c r="B82" s="4"/>
      <c r="C82" s="4"/>
      <c r="D82" s="4"/>
      <c r="E82" s="4"/>
    </row>
    <row r="83" customFormat="false" ht="39.75" hidden="false" customHeight="true" outlineLevel="0" collapsed="false">
      <c r="A83" s="13" t="s">
        <v>528</v>
      </c>
      <c r="B83" s="13"/>
      <c r="C83" s="13"/>
      <c r="D83" s="13"/>
      <c r="E83" s="13"/>
    </row>
    <row r="85" customFormat="false" ht="15" hidden="false" customHeight="true" outlineLevel="0" collapsed="false">
      <c r="A85" s="7" t="s">
        <v>529</v>
      </c>
      <c r="B85" s="7" t="s">
        <v>530</v>
      </c>
      <c r="C85" s="7" t="s">
        <v>531</v>
      </c>
      <c r="D85" s="7" t="s">
        <v>532</v>
      </c>
    </row>
    <row r="86" customFormat="false" ht="33.75" hidden="false" customHeight="true" outlineLevel="0" collapsed="false">
      <c r="A86" s="5" t="s">
        <v>533</v>
      </c>
      <c r="B86" s="8" t="s">
        <v>534</v>
      </c>
      <c r="C86" s="8" t="s">
        <v>535</v>
      </c>
      <c r="D86" s="6" t="s">
        <v>536</v>
      </c>
    </row>
    <row r="87" customFormat="false" ht="33.75" hidden="false" customHeight="true" outlineLevel="0" collapsed="false">
      <c r="A87" s="5" t="s">
        <v>537</v>
      </c>
      <c r="B87" s="8" t="s">
        <v>538</v>
      </c>
      <c r="C87" s="8" t="s">
        <v>539</v>
      </c>
      <c r="D87" s="6" t="s">
        <v>540</v>
      </c>
    </row>
    <row r="88" customFormat="false" ht="33.75" hidden="false" customHeight="true" outlineLevel="0" collapsed="false">
      <c r="A88" s="5" t="s">
        <v>541</v>
      </c>
      <c r="B88" s="8" t="s">
        <v>542</v>
      </c>
      <c r="C88" s="8" t="s">
        <v>543</v>
      </c>
      <c r="D88" s="6" t="s">
        <v>544</v>
      </c>
    </row>
    <row r="90" customFormat="false" ht="39.75" hidden="false" customHeight="true" outlineLevel="0" collapsed="false">
      <c r="A90" s="25" t="s">
        <v>545</v>
      </c>
      <c r="B90" s="25"/>
      <c r="C90" s="25"/>
      <c r="D90" s="25"/>
      <c r="E90" s="25"/>
    </row>
    <row r="92" customFormat="false" ht="15" hidden="false" customHeight="true" outlineLevel="0" collapsed="false">
      <c r="A92" s="14" t="s">
        <v>546</v>
      </c>
    </row>
    <row r="93" customFormat="false" ht="54.75" hidden="false" customHeight="true" outlineLevel="0" collapsed="false">
      <c r="A93" s="13" t="s">
        <v>547</v>
      </c>
      <c r="B93" s="13"/>
      <c r="C93" s="13"/>
      <c r="D93" s="13"/>
      <c r="E93" s="13"/>
    </row>
    <row r="95" customFormat="false" ht="15" hidden="false" customHeight="true" outlineLevel="0" collapsed="false">
      <c r="A95" s="14" t="s">
        <v>548</v>
      </c>
    </row>
    <row r="96" customFormat="false" ht="69.75" hidden="false" customHeight="true" outlineLevel="0" collapsed="false">
      <c r="A96" s="13" t="s">
        <v>549</v>
      </c>
      <c r="B96" s="13"/>
      <c r="C96" s="13"/>
      <c r="D96" s="13"/>
      <c r="E96" s="13"/>
    </row>
    <row r="98" customFormat="false" ht="39.75" hidden="false" customHeight="true" outlineLevel="0" collapsed="false">
      <c r="A98" s="25" t="s">
        <v>550</v>
      </c>
      <c r="B98" s="25"/>
      <c r="C98" s="25"/>
      <c r="D98" s="25"/>
      <c r="E98" s="25"/>
    </row>
    <row r="100" customFormat="false" ht="19.5" hidden="false" customHeight="true" outlineLevel="0" collapsed="false">
      <c r="A100" s="4" t="s">
        <v>551</v>
      </c>
      <c r="B100" s="4"/>
      <c r="C100" s="4"/>
      <c r="D100" s="4"/>
      <c r="E100" s="4"/>
    </row>
    <row r="101" customFormat="false" ht="39.75" hidden="false" customHeight="true" outlineLevel="0" collapsed="false">
      <c r="A101" s="13" t="s">
        <v>552</v>
      </c>
      <c r="B101" s="13"/>
      <c r="C101" s="13"/>
      <c r="D101" s="13"/>
      <c r="E101" s="13"/>
    </row>
    <row r="103" customFormat="false" ht="15" hidden="false" customHeight="true" outlineLevel="0" collapsed="false">
      <c r="A103" s="7" t="s">
        <v>18</v>
      </c>
      <c r="B103" s="7" t="s">
        <v>19</v>
      </c>
      <c r="C103" s="7" t="s">
        <v>553</v>
      </c>
    </row>
    <row r="104" customFormat="false" ht="30" hidden="false" customHeight="true" outlineLevel="0" collapsed="false">
      <c r="A104" s="8" t="s">
        <v>554</v>
      </c>
      <c r="B104" s="55" t="n">
        <v>0.25</v>
      </c>
      <c r="C104" s="49" t="s">
        <v>555</v>
      </c>
    </row>
    <row r="105" customFormat="false" ht="30" hidden="false" customHeight="true" outlineLevel="0" collapsed="false">
      <c r="A105" s="8" t="s">
        <v>556</v>
      </c>
      <c r="B105" s="55" t="n">
        <v>0.5</v>
      </c>
      <c r="C105" s="49" t="s">
        <v>557</v>
      </c>
    </row>
    <row r="106" customFormat="false" ht="30" hidden="false" customHeight="true" outlineLevel="0" collapsed="false">
      <c r="A106" s="8" t="s">
        <v>558</v>
      </c>
      <c r="B106" s="56" t="n">
        <f aca="false">'Costos Fijos y Variables'!$C$43</f>
        <v>1800</v>
      </c>
      <c r="C106" s="49" t="s">
        <v>559</v>
      </c>
    </row>
    <row r="108" customFormat="false" ht="54.75" hidden="false" customHeight="true" outlineLevel="0" collapsed="false">
      <c r="A108" s="13" t="s">
        <v>560</v>
      </c>
      <c r="B108" s="13"/>
      <c r="C108" s="13"/>
      <c r="D108" s="13"/>
      <c r="E108" s="13"/>
    </row>
    <row r="110" customFormat="false" ht="15" hidden="false" customHeight="true" outlineLevel="0" collapsed="false">
      <c r="A110" s="14" t="s">
        <v>561</v>
      </c>
    </row>
    <row r="111" customFormat="false" ht="15" hidden="false" customHeight="true" outlineLevel="0" collapsed="false">
      <c r="A111" s="7" t="s">
        <v>562</v>
      </c>
      <c r="B111" s="7" t="s">
        <v>563</v>
      </c>
      <c r="C111" s="7" t="s">
        <v>564</v>
      </c>
    </row>
    <row r="112" customFormat="false" ht="39.75" hidden="false" customHeight="true" outlineLevel="0" collapsed="false">
      <c r="A112" s="5" t="s">
        <v>565</v>
      </c>
      <c r="B112" s="8" t="s">
        <v>566</v>
      </c>
      <c r="C112" s="6" t="s">
        <v>567</v>
      </c>
    </row>
    <row r="113" customFormat="false" ht="39.75" hidden="false" customHeight="true" outlineLevel="0" collapsed="false">
      <c r="A113" s="5" t="s">
        <v>568</v>
      </c>
      <c r="B113" s="8" t="s">
        <v>569</v>
      </c>
      <c r="C113" s="6" t="s">
        <v>570</v>
      </c>
    </row>
    <row r="114" customFormat="false" ht="39.75" hidden="false" customHeight="true" outlineLevel="0" collapsed="false">
      <c r="A114" s="5" t="s">
        <v>571</v>
      </c>
      <c r="B114" s="8" t="s">
        <v>569</v>
      </c>
      <c r="C114" s="6" t="s">
        <v>572</v>
      </c>
    </row>
    <row r="116" customFormat="false" ht="39.75" hidden="false" customHeight="true" outlineLevel="0" collapsed="false">
      <c r="A116" s="25" t="s">
        <v>573</v>
      </c>
      <c r="B116" s="25"/>
      <c r="C116" s="25"/>
      <c r="D116" s="25"/>
      <c r="E116" s="25"/>
    </row>
    <row r="118" customFormat="false" ht="19.5" hidden="false" customHeight="true" outlineLevel="0" collapsed="false">
      <c r="A118" s="4" t="s">
        <v>574</v>
      </c>
      <c r="B118" s="4"/>
      <c r="C118" s="4"/>
      <c r="D118" s="4"/>
      <c r="E118" s="4"/>
    </row>
    <row r="119" customFormat="false" ht="39.75" hidden="false" customHeight="true" outlineLevel="0" collapsed="false">
      <c r="A119" s="13" t="s">
        <v>575</v>
      </c>
      <c r="B119" s="13"/>
      <c r="C119" s="13"/>
      <c r="D119" s="13"/>
      <c r="E119" s="13"/>
    </row>
    <row r="121" customFormat="false" ht="15" hidden="false" customHeight="true" outlineLevel="0" collapsed="false">
      <c r="A121" s="7" t="s">
        <v>403</v>
      </c>
      <c r="B121" s="7" t="s">
        <v>576</v>
      </c>
      <c r="C121" s="7" t="s">
        <v>577</v>
      </c>
    </row>
    <row r="122" customFormat="false" ht="54.75" hidden="false" customHeight="true" outlineLevel="0" collapsed="false">
      <c r="A122" s="5" t="s">
        <v>578</v>
      </c>
      <c r="B122" s="6" t="s">
        <v>579</v>
      </c>
      <c r="C122" s="6" t="s">
        <v>580</v>
      </c>
    </row>
    <row r="123" customFormat="false" ht="54.75" hidden="false" customHeight="true" outlineLevel="0" collapsed="false">
      <c r="A123" s="5" t="s">
        <v>581</v>
      </c>
      <c r="B123" s="6" t="s">
        <v>582</v>
      </c>
      <c r="C123" s="6" t="s">
        <v>583</v>
      </c>
    </row>
    <row r="124" customFormat="false" ht="54.75" hidden="false" customHeight="true" outlineLevel="0" collapsed="false">
      <c r="A124" s="5" t="s">
        <v>584</v>
      </c>
      <c r="B124" s="6" t="s">
        <v>585</v>
      </c>
      <c r="C124" s="6" t="s">
        <v>586</v>
      </c>
    </row>
    <row r="126" customFormat="false" ht="39.75" hidden="false" customHeight="true" outlineLevel="0" collapsed="false">
      <c r="A126" s="25" t="s">
        <v>587</v>
      </c>
      <c r="B126" s="25"/>
      <c r="C126" s="25"/>
      <c r="D126" s="25"/>
      <c r="E126" s="25"/>
    </row>
    <row r="128" customFormat="false" ht="19.5" hidden="false" customHeight="true" outlineLevel="0" collapsed="false">
      <c r="A128" s="4" t="s">
        <v>588</v>
      </c>
      <c r="B128" s="4"/>
      <c r="C128" s="4"/>
      <c r="D128" s="4"/>
      <c r="E128" s="4"/>
    </row>
    <row r="129" customFormat="false" ht="15" hidden="false" customHeight="true" outlineLevel="0" collapsed="false">
      <c r="A129" s="7" t="s">
        <v>589</v>
      </c>
      <c r="B129" s="7" t="s">
        <v>590</v>
      </c>
      <c r="C129" s="7" t="s">
        <v>591</v>
      </c>
    </row>
    <row r="130" customFormat="false" ht="49.5" hidden="false" customHeight="true" outlineLevel="0" collapsed="false">
      <c r="A130" s="5" t="s">
        <v>592</v>
      </c>
      <c r="B130" s="6" t="s">
        <v>593</v>
      </c>
      <c r="C130" s="6" t="s">
        <v>594</v>
      </c>
    </row>
    <row r="131" customFormat="false" ht="49.5" hidden="false" customHeight="true" outlineLevel="0" collapsed="false">
      <c r="A131" s="5" t="s">
        <v>595</v>
      </c>
      <c r="B131" s="6" t="s">
        <v>596</v>
      </c>
      <c r="C131" s="6" t="s">
        <v>597</v>
      </c>
    </row>
    <row r="132" customFormat="false" ht="49.5" hidden="false" customHeight="true" outlineLevel="0" collapsed="false">
      <c r="A132" s="5" t="s">
        <v>598</v>
      </c>
      <c r="B132" s="6" t="s">
        <v>599</v>
      </c>
      <c r="C132" s="6" t="s">
        <v>600</v>
      </c>
    </row>
    <row r="133" customFormat="false" ht="49.5" hidden="false" customHeight="true" outlineLevel="0" collapsed="false">
      <c r="A133" s="5" t="s">
        <v>601</v>
      </c>
      <c r="B133" s="6" t="s">
        <v>602</v>
      </c>
      <c r="C133" s="6" t="s">
        <v>603</v>
      </c>
    </row>
    <row r="135" customFormat="false" ht="54.75" hidden="false" customHeight="true" outlineLevel="0" collapsed="false">
      <c r="A135" s="25" t="s">
        <v>604</v>
      </c>
      <c r="B135" s="25"/>
      <c r="C135" s="25"/>
      <c r="D135" s="25"/>
      <c r="E135" s="25"/>
    </row>
  </sheetData>
  <mergeCells count="36">
    <mergeCell ref="A1:E1"/>
    <mergeCell ref="A2:E2"/>
    <mergeCell ref="A4:E4"/>
    <mergeCell ref="A12:E12"/>
    <mergeCell ref="A19:E19"/>
    <mergeCell ref="A22:E22"/>
    <mergeCell ref="A24:E24"/>
    <mergeCell ref="A25:E25"/>
    <mergeCell ref="A33:E33"/>
    <mergeCell ref="A36:E36"/>
    <mergeCell ref="A37:E37"/>
    <mergeCell ref="A38:E38"/>
    <mergeCell ref="A39:E39"/>
    <mergeCell ref="A41:E41"/>
    <mergeCell ref="A50:E50"/>
    <mergeCell ref="A52:E52"/>
    <mergeCell ref="A59:E59"/>
    <mergeCell ref="A60:E60"/>
    <mergeCell ref="C71:E71"/>
    <mergeCell ref="C72:E72"/>
    <mergeCell ref="A80:E80"/>
    <mergeCell ref="A82:E82"/>
    <mergeCell ref="A83:E83"/>
    <mergeCell ref="A90:E90"/>
    <mergeCell ref="A93:E93"/>
    <mergeCell ref="A96:E96"/>
    <mergeCell ref="A98:E98"/>
    <mergeCell ref="A100:E100"/>
    <mergeCell ref="A101:E101"/>
    <mergeCell ref="A108:E108"/>
    <mergeCell ref="A116:E116"/>
    <mergeCell ref="A118:E118"/>
    <mergeCell ref="A119:E119"/>
    <mergeCell ref="A126:E126"/>
    <mergeCell ref="A128:E128"/>
    <mergeCell ref="A135:E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2026-09-02T19:38:56Z</dcterms:created>
  <dc:creator>openpyxl</dc:creator>
  <dc:description/>
  <dc:language>en-US</dc:language>
  <cp:lastModifiedBy/>
  <dcterms:modified xsi:type="dcterms:W3CDTF">2026-09-07T01:33:13Z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